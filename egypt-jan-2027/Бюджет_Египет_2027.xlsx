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  <sheet xmlns:r="http://schemas.openxmlformats.org/officeDocument/2006/relationships" name="Билеты" sheetId="2" state="visible" r:id="rId2"/>
    <sheet xmlns:r="http://schemas.openxmlformats.org/officeDocument/2006/relationships" name="Статусы услуг" sheetId="3" state="visible" r:id="rId3"/>
    <sheet xmlns:r="http://schemas.openxmlformats.org/officeDocument/2006/relationships" name="Сценар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1F3864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1F3864"/>
      <sz val="13"/>
    </font>
    <font>
      <b val="1"/>
      <color rgb="00C00000"/>
    </font>
    <font>
      <i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3" fontId="0" fillId="0" borderId="1" pivotButton="0" quotePrefix="0" xfId="0"/>
    <xf numFmtId="3" fontId="5" fillId="4" borderId="1" pivotButton="0" quotePrefix="0" xfId="0"/>
    <xf numFmtId="3" fontId="0" fillId="4" borderId="1" pivotButton="0" quotePrefix="0" xfId="0"/>
    <xf numFmtId="0" fontId="6" fillId="0" borderId="0" pivotButton="0" quotePrefix="0" xfId="0"/>
    <xf numFmtId="3" fontId="6" fillId="5" borderId="1" pivotButton="0" quotePrefix="0" xfId="0"/>
    <xf numFmtId="0" fontId="7" fillId="0" borderId="0" pivotButton="0" quotePrefix="0" xfId="0"/>
    <xf numFmtId="3" fontId="0" fillId="0" borderId="0" pivotButton="0" quotePrefix="0" xfId="0"/>
    <xf numFmtId="3" fontId="5" fillId="4" borderId="0" pivotButton="0" quotePrefix="0" xfId="0"/>
    <xf numFmtId="0" fontId="0" fillId="3" borderId="0" pivotButton="0" quotePrefix="0" xfId="0"/>
    <xf numFmtId="3" fontId="6" fillId="5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54" customWidth="1" min="2" max="2"/>
    <col width="13" customWidth="1" min="3" max="3"/>
    <col width="13" customWidth="1" min="4" max="4"/>
    <col width="46" customWidth="1" min="5" max="5"/>
  </cols>
  <sheetData>
    <row r="1">
      <c r="A1" s="1" t="inlineStr">
        <is>
          <t>БЮДЖЕТ НА ОДНОГО ГОСТЯ · Египет 23–30 января 2027 · La Royal Event</t>
        </is>
      </c>
    </row>
    <row r="2">
      <c r="A2" s="2" t="inlineStr">
        <is>
          <t>Внутренний документ. Все суммы — ориентиры для планирования, не коммерческие цены. Подставляйте подтверждённые предложения поставщиков по мере получения.</t>
        </is>
      </c>
    </row>
    <row r="3">
      <c r="E3" s="24" t="inlineStr">
        <is>
          <t>Колонка «Низкий» = 16 гостей и делюкс-борт. Колонка «Высокий» = пессимистичный сценарий: 14 гостей и дорогой борт.</t>
        </is>
      </c>
    </row>
    <row r="4">
      <c r="A4" s="3" t="inlineStr">
        <is>
          <t>ИСХОДНЫЕ ДАННЫЕ — меняйте только жёлтые ячейки</t>
        </is>
      </c>
    </row>
    <row r="5">
      <c r="A5" s="4" t="inlineStr"/>
      <c r="B5" s="4" t="inlineStr">
        <is>
          <t>Параметр</t>
        </is>
      </c>
      <c r="C5" s="4" t="inlineStr">
        <is>
          <t>Низкий</t>
        </is>
      </c>
      <c r="D5" s="4" t="inlineStr">
        <is>
          <t>Высокий</t>
        </is>
      </c>
      <c r="E5" s="4" t="inlineStr">
        <is>
          <t>Комментарий</t>
        </is>
      </c>
    </row>
    <row r="6">
      <c r="B6" s="5" t="inlineStr">
        <is>
          <t>Число гостей</t>
        </is>
      </c>
      <c r="C6" s="6" t="n">
        <v>16</v>
      </c>
      <c r="D6" s="6" t="n">
        <v>14</v>
      </c>
      <c r="E6" s="7" t="inlineStr">
        <is>
          <t>Фрахт делится на это число. 14 вместо 16 даёт +12–14 % к цене</t>
        </is>
      </c>
    </row>
    <row r="7">
      <c r="B7" s="5" t="inlineStr">
        <is>
          <t>Ночей фрахта с движением</t>
        </is>
      </c>
      <c r="C7" s="6" t="n">
        <v>4</v>
      </c>
      <c r="D7" s="6" t="n">
        <v>4</v>
      </c>
      <c r="E7" s="7" t="inlineStr">
        <is>
          <t>Вариант A: 4 (25–29.01). Вариант B: 3 (26–29.01)</t>
        </is>
      </c>
    </row>
    <row r="8">
      <c r="B8" s="5" t="inlineStr">
        <is>
          <t>Ночей стоянки без движения</t>
        </is>
      </c>
      <c r="C8" s="6" t="n">
        <v>1</v>
      </c>
      <c r="D8" s="6" t="n">
        <v>1</v>
      </c>
      <c r="E8" s="7" t="inlineStr">
        <is>
          <t>Ночь 29/30 в Асуане вместо отеля. 0, если берём отель</t>
        </is>
      </c>
    </row>
    <row r="9">
      <c r="B9" s="5" t="inlineStr">
        <is>
          <t>Цена корпуса за ходовую ночь, USD</t>
        </is>
      </c>
      <c r="C9" s="6" t="n">
        <v>8750</v>
      </c>
      <c r="D9" s="6" t="n">
        <v>15000</v>
      </c>
      <c r="E9" s="7" t="inlineStr">
        <is>
          <t>ЗАПРОСИТЬ у оператора. Ориентир: делюкс-борт 18–22 каюты</t>
        </is>
      </c>
    </row>
    <row r="10">
      <c r="B10" s="5" t="inlineStr">
        <is>
          <t>Цена корпуса за ночь стоянки, USD</t>
        </is>
      </c>
      <c r="C10" s="6" t="n">
        <v>4000</v>
      </c>
      <c r="D10" s="6" t="n">
        <v>8400</v>
      </c>
      <c r="E10" s="7" t="inlineStr">
        <is>
          <t>ЗАПРОСИТЬ отдельной строкой — обычно ниже ходовой</t>
        </is>
      </c>
    </row>
    <row r="11">
      <c r="B11" s="5" t="inlineStr">
        <is>
          <t>Вознаграждение La Royal, %</t>
        </is>
      </c>
      <c r="C11" s="6" t="n">
        <v>12</v>
      </c>
      <c r="D11" s="6" t="n">
        <v>18</v>
      </c>
      <c r="E11" s="7" t="inlineStr">
        <is>
          <t>Ваше решение</t>
        </is>
      </c>
    </row>
    <row r="12">
      <c r="B12" s="5" t="inlineStr">
        <is>
          <t>Курс EGP за 1 USD</t>
        </is>
      </c>
      <c r="C12" s="6" t="n">
        <v>48</v>
      </c>
      <c r="D12" s="6" t="n">
        <v>52</v>
      </c>
      <c r="E12" s="7" t="inlineStr">
        <is>
          <t>Проверить на дату сметы</t>
        </is>
      </c>
    </row>
    <row r="14">
      <c r="A14" s="3" t="inlineStr">
        <is>
          <t>СТАТЬИ РАСХОДОВ НА ОДНОГО ГОСТЯ, USD</t>
        </is>
      </c>
    </row>
    <row r="15">
      <c r="A15" s="4" t="inlineStr">
        <is>
          <t>№</t>
        </is>
      </c>
      <c r="B15" s="4" t="inlineStr">
        <is>
          <t>Статья</t>
        </is>
      </c>
      <c r="C15" s="4" t="inlineStr">
        <is>
          <t>Низкий</t>
        </is>
      </c>
      <c r="D15" s="4" t="inlineStr">
        <is>
          <t>Высокий</t>
        </is>
      </c>
      <c r="E15" s="4" t="inlineStr">
        <is>
          <t>Статус / у кого запросить</t>
        </is>
      </c>
    </row>
    <row r="16">
      <c r="A16" t="n">
        <v>1</v>
      </c>
      <c r="B16" s="7" t="inlineStr">
        <is>
          <t>Фрахт судна, ходовые ночи</t>
        </is>
      </c>
      <c r="C16" s="8">
        <f>$C$9*$C$7/$C$6</f>
        <v/>
      </c>
      <c r="D16" s="8">
        <f>$D$9*$D$7/$D$6</f>
        <v/>
      </c>
      <c r="E16" s="7" t="inlineStr">
        <is>
          <t>[О] Судовой оператор, письмо 1</t>
        </is>
      </c>
    </row>
    <row r="17">
      <c r="A17" t="n">
        <v>2</v>
      </c>
      <c r="B17" s="7" t="inlineStr">
        <is>
          <t>Ночь стоянки в Асуане 29/30</t>
        </is>
      </c>
      <c r="C17" s="8">
        <f>$C$10*$C$8/$C$6</f>
        <v/>
      </c>
      <c r="D17" s="8">
        <f>$D$10*$D$8/$D$6</f>
        <v/>
      </c>
      <c r="E17" s="7" t="inlineStr">
        <is>
          <t>[О] Отдельная ставка у оператора</t>
        </is>
      </c>
    </row>
    <row r="18">
      <c r="A18" t="n">
        <v>3</v>
      </c>
      <c r="B18" s="7" t="inlineStr">
        <is>
          <t>Портовые сборы, шлюз, топливная надбавка</t>
        </is>
      </c>
      <c r="C18" s="8" t="n">
        <v>60</v>
      </c>
      <c r="D18" s="8" t="n">
        <v>180</v>
      </c>
      <c r="E18" s="7" t="inlineStr">
        <is>
          <t>[О] Уточнить, включены ли во фрахт</t>
        </is>
      </c>
    </row>
    <row r="19">
      <c r="A19" t="n">
        <v>4</v>
      </c>
      <c r="B19" s="7" t="inlineStr">
        <is>
          <t>Каюты и питание гида, ведущего, сопровождающих</t>
        </is>
      </c>
      <c r="C19" s="8" t="n">
        <v>120</v>
      </c>
      <c r="D19" s="8" t="n">
        <v>300</v>
      </c>
      <c r="E19" s="7" t="inlineStr">
        <is>
          <t>[О] НЕ бесплатные. Частая ошибка смет</t>
        </is>
      </c>
    </row>
    <row r="20">
      <c r="A20" t="n">
        <v>5</v>
      </c>
      <c r="B20" s="7" t="inlineStr">
        <is>
          <t>Каир, Mena House, 2 ночи, single, Pyramid View</t>
        </is>
      </c>
      <c r="C20" s="8" t="n">
        <v>450</v>
      </c>
      <c r="D20" s="8" t="n">
        <v>750</v>
      </c>
      <c r="E20" s="7" t="inlineStr">
        <is>
          <t>[О] Письмо 6, отдел групп</t>
        </is>
      </c>
    </row>
    <row r="21">
      <c r="A21" t="n">
        <v>6</v>
      </c>
      <c r="B21" s="7" t="inlineStr">
        <is>
          <t>Внутренние перелёты CAI–LXR и ASW–CAI</t>
        </is>
      </c>
      <c r="C21" s="8" t="n">
        <v>180</v>
      </c>
      <c r="D21" s="8" t="n">
        <v>320</v>
      </c>
      <c r="E21" s="7" t="inlineStr">
        <is>
          <t>[О] Письмо 9, групповой тариф</t>
        </is>
      </c>
    </row>
    <row r="22">
      <c r="A22" t="n">
        <v>7</v>
      </c>
      <c r="B22" s="7" t="inlineStr">
        <is>
          <t>Входные билеты на все памятники</t>
        </is>
      </c>
      <c r="C22" s="8" t="n">
        <v>150</v>
      </c>
      <c r="D22" s="8" t="n">
        <v>220</v>
      </c>
      <c r="E22" s="7" t="inlineStr">
        <is>
          <t>[П] см. лист «Билеты», +20–30 % на рост тарифов</t>
        </is>
      </c>
    </row>
    <row r="23">
      <c r="A23" t="n">
        <v>8</v>
      </c>
      <c r="B23" s="7" t="inlineStr">
        <is>
          <t>Ночной приватный доступ в Гизу</t>
        </is>
      </c>
      <c r="C23" s="8" t="n">
        <v>300</v>
      </c>
      <c r="D23" s="8" t="n">
        <v>700</v>
      </c>
      <c r="E23" s="7" t="inlineStr">
        <is>
          <t>[О] публично «от 299 USD». Письмо 3</t>
        </is>
      </c>
    </row>
    <row r="24">
      <c r="A24" t="n">
        <v>9</v>
      </c>
      <c r="B24" s="7" t="inlineStr">
        <is>
          <t>Филе: приватный визит и свето-звуковой показ</t>
        </is>
      </c>
      <c r="C24" s="8" t="n">
        <v>190</v>
      </c>
      <c r="D24" s="8" t="n">
        <v>500</v>
      </c>
      <c r="E24" s="7" t="inlineStr">
        <is>
          <t>[О] Зависит от смысла слова private. Письмо 4</t>
        </is>
      </c>
    </row>
    <row r="25">
      <c r="A25" t="n">
        <v>10</v>
      </c>
      <c r="B25" s="7" t="inlineStr">
        <is>
          <t>Абу-Симбел наземно, частная экскурсия на день</t>
        </is>
      </c>
      <c r="C25" s="8" t="n">
        <v>90</v>
      </c>
      <c r="D25" s="8" t="n">
        <v>160</v>
      </c>
      <c r="E25" s="7" t="inlineStr">
        <is>
          <t>[О] Письмо 2</t>
        </is>
      </c>
    </row>
    <row r="26">
      <c r="A26" t="n">
        <v>11</v>
      </c>
      <c r="B26" s="7" t="inlineStr">
        <is>
          <t>Русскоязычный египтолог на всю программу</t>
        </is>
      </c>
      <c r="C26" s="8" t="n">
        <v>90</v>
      </c>
      <c r="D26" s="8" t="n">
        <v>180</v>
      </c>
      <c r="E26" s="7" t="inlineStr">
        <is>
          <t>[О] Письмо 2</t>
        </is>
      </c>
    </row>
    <row r="27">
      <c r="A27" t="n">
        <v>12</v>
      </c>
      <c r="B27" s="7" t="inlineStr">
        <is>
          <t>Наземный транспорт + багажная машина 29.01</t>
        </is>
      </c>
      <c r="C27" s="8" t="n">
        <v>150</v>
      </c>
      <c r="D27" s="8" t="n">
        <v>300</v>
      </c>
      <c r="E27" s="7" t="inlineStr">
        <is>
          <t>[О] Письмо 2</t>
        </is>
      </c>
    </row>
    <row r="28">
      <c r="A28" t="n">
        <v>13</v>
      </c>
      <c r="B28" s="7" t="inlineStr">
        <is>
          <t>Аэропортовая помощь, meet &amp; greet, fast track</t>
        </is>
      </c>
      <c r="C28" s="8" t="n">
        <v>30</v>
      </c>
      <c r="D28" s="8" t="n">
        <v>80</v>
      </c>
      <c r="E28" s="7" t="inlineStr">
        <is>
          <t>[О] Разделить две услуги</t>
        </is>
      </c>
    </row>
    <row r="29">
      <c r="A29" t="n">
        <v>14</v>
      </c>
      <c r="B29" s="7" t="inlineStr">
        <is>
          <t>Гала-ужин в Old Cataract, приватная зона</t>
        </is>
      </c>
      <c r="C29" s="8" t="n">
        <v>150</v>
      </c>
      <c r="D29" s="8" t="n">
        <v>350</v>
      </c>
      <c r="E29" s="7" t="inlineStr">
        <is>
          <t>[О] Письмо 5, Events &amp; Catering</t>
        </is>
      </c>
    </row>
    <row r="30">
      <c r="A30" t="n">
        <v>15</v>
      </c>
      <c r="B30" s="7" t="inlineStr">
        <is>
          <t>Нубийское выступление на борту</t>
        </is>
      </c>
      <c r="C30" s="8" t="n">
        <v>40</v>
      </c>
      <c r="D30" s="8" t="n">
        <v>95</v>
      </c>
      <c r="E30" s="7" t="inlineStr">
        <is>
          <t>[О] Через DMC + согласование с капитаном</t>
        </is>
      </c>
    </row>
    <row r="31">
      <c r="A31" t="n">
        <v>16</v>
      </c>
      <c r="B31" s="7" t="inlineStr">
        <is>
          <t>Фелюкка и сад Китченера</t>
        </is>
      </c>
      <c r="C31" s="8" t="n">
        <v>25</v>
      </c>
      <c r="D31" s="8" t="n">
        <v>50</v>
      </c>
      <c r="E31" s="7" t="inlineStr">
        <is>
          <t>[О] Две отдельные услуги, не одна</t>
        </is>
      </c>
    </row>
    <row r="32">
      <c r="A32" t="n">
        <v>17</v>
      </c>
      <c r="B32" s="7" t="inlineStr">
        <is>
          <t>Ранние завтраки, ланч-боксы, кофе-брейки сессий</t>
        </is>
      </c>
      <c r="C32" s="8" t="n">
        <v>40</v>
      </c>
      <c r="D32" s="8" t="n">
        <v>90</v>
      </c>
      <c r="E32" s="7" t="inlineStr">
        <is>
          <t>[О] НЕ входит в Full Board</t>
        </is>
      </c>
    </row>
    <row r="33">
      <c r="A33" t="n">
        <v>18</v>
      </c>
      <c r="B33" s="7" t="inlineStr">
        <is>
          <t>Чаевые фондом: экипаж, гиды, водители, лодочники</t>
        </is>
      </c>
      <c r="C33" s="8" t="n">
        <v>80</v>
      </c>
      <c r="D33" s="8" t="n">
        <v>150</v>
      </c>
      <c r="E33" s="7" t="inlineStr">
        <is>
          <t>[О] Норматив проекта</t>
        </is>
      </c>
    </row>
    <row r="34">
      <c r="A34" t="n">
        <v>19</v>
      </c>
      <c r="B34" s="7" t="inlineStr">
        <is>
          <t>Резерв на оперативные решения, 2–3 %</t>
        </is>
      </c>
      <c r="C34" s="8" t="n">
        <v>100</v>
      </c>
      <c r="D34" s="8" t="n">
        <v>200</v>
      </c>
      <c r="E34" s="7" t="inlineStr">
        <is>
          <t>Норматив проекта</t>
        </is>
      </c>
    </row>
    <row r="35">
      <c r="B35" s="5" t="inlineStr">
        <is>
          <t>ИТОГО СЕБЕСТОИМОСТЬ НА ГОСТЯ</t>
        </is>
      </c>
      <c r="C35" s="9">
        <f>SUM(C16:C34)</f>
        <v/>
      </c>
      <c r="D35" s="9">
        <f>SUM(D16:D34)</f>
        <v/>
      </c>
    </row>
    <row r="36">
      <c r="B36" s="5" t="inlineStr">
        <is>
          <t>Вознаграждение La Royal</t>
        </is>
      </c>
      <c r="C36" s="10">
        <f>C35*$C$11/100</f>
        <v/>
      </c>
      <c r="D36" s="10">
        <f>D35*$D$11/100</f>
        <v/>
      </c>
    </row>
    <row r="37">
      <c r="B37" s="11" t="inlineStr">
        <is>
          <t>ЦЕНА ДЛЯ КЛИЕНТА НА ОДНОГО ГОСТЯ, USD</t>
        </is>
      </c>
      <c r="C37" s="12">
        <f>C35+C36</f>
        <v/>
      </c>
      <c r="D37" s="12">
        <f>D35+D36</f>
        <v/>
      </c>
    </row>
    <row r="38">
      <c r="E38" s="2" t="inlineStr">
        <is>
          <t>Наиболее вероятный коридор при борте правильного размера: 7 000 – 9 000 USD</t>
        </is>
      </c>
    </row>
    <row r="40">
      <c r="B40" s="3" t="inlineStr">
        <is>
          <t>СТОИМОСТЬ ВСЕГО ПРОЕКТА (для проверки масштаба)</t>
        </is>
      </c>
    </row>
    <row r="41">
      <c r="B41" s="5" t="inlineStr">
        <is>
          <t>Итого по группе, USD</t>
        </is>
      </c>
      <c r="C41" s="10">
        <f>C37*$C$6</f>
        <v/>
      </c>
      <c r="D41" s="10">
        <f>D37*$D$6</f>
        <v/>
      </c>
    </row>
    <row r="43">
      <c r="B43" s="3" t="inlineStr">
        <is>
          <t>ОПЦИИ СВЕРХ БАЗЫ, на гостя</t>
        </is>
      </c>
    </row>
    <row r="44">
      <c r="A44" s="4" t="inlineStr"/>
      <c r="B44" s="4" t="inlineStr">
        <is>
          <t>Опция</t>
        </is>
      </c>
      <c r="C44" s="4" t="inlineStr">
        <is>
          <t>Низкий</t>
        </is>
      </c>
      <c r="D44" s="4" t="inlineStr">
        <is>
          <t>Высокий</t>
        </is>
      </c>
      <c r="E44" s="4" t="inlineStr">
        <is>
          <t>Примечание</t>
        </is>
      </c>
    </row>
    <row r="45">
      <c r="B45" s="7" t="inlineStr">
        <is>
          <t>Приватный полёт на воздушном шаре</t>
        </is>
      </c>
      <c r="C45" s="8" t="n">
        <v>150</v>
      </c>
      <c r="D45" s="8" t="n">
        <v>350</v>
      </c>
      <c r="E45" s="7" t="inlineStr">
        <is>
          <t>Отменяется по погоде чаще, чем ожидают</t>
        </is>
      </c>
    </row>
    <row r="46">
      <c r="B46" s="7" t="inlineStr">
        <is>
          <t>Перелёт в Абу-Симбел вместо дороги</t>
        </is>
      </c>
      <c r="C46" s="8" t="n">
        <v>250</v>
      </c>
      <c r="D46" s="8" t="n">
        <v>400</v>
      </c>
      <c r="E46" s="7" t="inlineStr">
        <is>
          <t>Только при подтверждённых 18 местах</t>
        </is>
      </c>
    </row>
    <row r="47">
      <c r="B47" s="7" t="inlineStr">
        <is>
          <t>Обед в саду Китченера</t>
        </is>
      </c>
      <c r="C47" s="8" t="n">
        <v>60</v>
      </c>
      <c r="D47" s="8" t="n">
        <v>140</v>
      </c>
      <c r="E47" s="7" t="inlineStr">
        <is>
          <t>Требует разрешения и выездной кухни</t>
        </is>
      </c>
    </row>
    <row r="48">
      <c r="B48" s="7" t="inlineStr">
        <is>
          <t>Премиальный борт вместо делюкс-класса</t>
        </is>
      </c>
      <c r="C48" s="8" t="n">
        <v>1500</v>
      </c>
      <c r="D48" s="8" t="n">
        <v>2500</v>
      </c>
      <c r="E48" s="7" t="inlineStr">
        <is>
          <t>Поправка к строке 1</t>
        </is>
      </c>
    </row>
    <row r="49">
      <c r="B49" s="7" t="inlineStr">
        <is>
          <t>Mövenpick Aswan вместо ночи на борту</t>
        </is>
      </c>
      <c r="C49" s="8" t="n">
        <v>200</v>
      </c>
      <c r="D49" s="8" t="n">
        <v>450</v>
      </c>
      <c r="E49" s="7" t="inlineStr">
        <is>
          <t>Тогда строку 2 обнулить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3" t="inlineStr">
        <is>
          <t>ВХОДНЫЕ БИЛЕТЫ · тарифы 2026 для иностранных посетителей</t>
        </is>
      </c>
    </row>
    <row r="2">
      <c r="A2" s="2" t="inlineStr">
        <is>
          <t>Оплата на кассах только в EGP, картой. Билеты в GEM — только на visit-gem.com, по таймслотам.</t>
        </is>
      </c>
    </row>
    <row r="4">
      <c r="A4" s="4" t="inlineStr">
        <is>
          <t>Памятник</t>
        </is>
      </c>
      <c r="B4" s="4" t="inlineStr">
        <is>
          <t>EGP</t>
        </is>
      </c>
      <c r="C4" s="4" t="inlineStr">
        <is>
          <t>Берём</t>
        </is>
      </c>
      <c r="D4" s="4" t="inlineStr">
        <is>
          <t>Статус</t>
        </is>
      </c>
      <c r="E4" s="4" t="inlineStr"/>
      <c r="F4" s="4" t="inlineStr">
        <is>
          <t>Примечание</t>
        </is>
      </c>
    </row>
    <row r="5">
      <c r="A5" t="inlineStr">
        <is>
          <t>Плато Гиза, общий вход</t>
        </is>
      </c>
      <c r="B5" s="14" t="n">
        <v>700</v>
      </c>
      <c r="C5" s="6" t="n">
        <v>1</v>
      </c>
      <c r="D5" t="inlineStr">
        <is>
          <t>[П]</t>
        </is>
      </c>
      <c r="F5" s="7" t="inlineStr"/>
    </row>
    <row r="6">
      <c r="A6" t="inlineStr">
        <is>
          <t>Внутрь пирамиды Хеопса днём</t>
        </is>
      </c>
      <c r="B6" s="14" t="n">
        <v>1500</v>
      </c>
      <c r="C6" s="6" t="n">
        <v>0</v>
      </c>
      <c r="D6" t="inlineStr">
        <is>
          <t>[П]</t>
        </is>
      </c>
      <c r="F6" s="7" t="inlineStr">
        <is>
          <t>СНИМАЕМ при подтверждённом ночном доступе</t>
        </is>
      </c>
    </row>
    <row r="7">
      <c r="A7" t="inlineStr">
        <is>
          <t>Большой Египетский музей (GEM)</t>
        </is>
      </c>
      <c r="B7" s="14" t="n">
        <v>1450</v>
      </c>
      <c r="C7" s="6" t="n">
        <v>1</v>
      </c>
      <c r="D7" t="inlineStr">
        <is>
          <t>[П]</t>
        </is>
      </c>
      <c r="F7" s="7" t="inlineStr">
        <is>
          <t>Таймслот 2 часа, только visit-gem.com</t>
        </is>
      </c>
    </row>
    <row r="8">
      <c r="A8" t="inlineStr">
        <is>
          <t>Карнакский храм</t>
        </is>
      </c>
      <c r="B8" s="14" t="n">
        <v>300</v>
      </c>
      <c r="C8" s="6" t="n">
        <v>1</v>
      </c>
      <c r="D8" t="inlineStr">
        <is>
          <t>[П]</t>
        </is>
      </c>
      <c r="F8" s="7" t="inlineStr"/>
    </row>
    <row r="9">
      <c r="A9" t="inlineStr">
        <is>
          <t>Храм Хатшепсут</t>
        </is>
      </c>
      <c r="B9" s="14" t="n">
        <v>200</v>
      </c>
      <c r="C9" s="6" t="n">
        <v>1</v>
      </c>
      <c r="D9" t="inlineStr">
        <is>
          <t>[П]</t>
        </is>
      </c>
      <c r="F9" s="7" t="inlineStr">
        <is>
          <t>Открытие 06:00, зимой закрытие 16:00</t>
        </is>
      </c>
    </row>
    <row r="10">
      <c r="A10" t="inlineStr">
        <is>
          <t>Дейр-эль-Медина</t>
        </is>
      </c>
      <c r="B10" s="14" t="n">
        <v>200</v>
      </c>
      <c r="C10" s="6" t="n">
        <v>1</v>
      </c>
      <c r="D10" t="inlineStr">
        <is>
          <t>[П]</t>
        </is>
      </c>
      <c r="F10" s="7" t="inlineStr">
        <is>
          <t>Опция в варианте A</t>
        </is>
      </c>
    </row>
    <row r="11">
      <c r="A11" t="inlineStr">
        <is>
          <t>Храм Гора в Эдфу</t>
        </is>
      </c>
      <c r="B11" s="14" t="n">
        <v>450</v>
      </c>
      <c r="C11" s="6" t="n">
        <v>1</v>
      </c>
      <c r="D11" t="inlineStr">
        <is>
          <t>[О]</t>
        </is>
      </c>
      <c r="F11" s="7" t="inlineStr">
        <is>
          <t>Уточнить у DMC</t>
        </is>
      </c>
    </row>
    <row r="12">
      <c r="A12" t="inlineStr">
        <is>
          <t>Ком-Омбо с музеем крокодилов</t>
        </is>
      </c>
      <c r="B12" s="14" t="n">
        <v>300</v>
      </c>
      <c r="C12" s="6" t="n">
        <v>1</v>
      </c>
      <c r="D12" t="inlineStr">
        <is>
          <t>[О]</t>
        </is>
      </c>
      <c r="F12" s="7" t="inlineStr">
        <is>
          <t>Уточнить у DMC</t>
        </is>
      </c>
    </row>
    <row r="13">
      <c r="A13" t="inlineStr">
        <is>
          <t>Филе, вход</t>
        </is>
      </c>
      <c r="B13" s="14" t="n">
        <v>300</v>
      </c>
      <c r="C13" s="6" t="n">
        <v>1</v>
      </c>
      <c r="D13" t="inlineStr">
        <is>
          <t>[П]</t>
        </is>
      </c>
      <c r="F13" s="7" t="inlineStr"/>
    </row>
    <row r="14">
      <c r="A14" t="inlineStr">
        <is>
          <t>Филе, свето-звуковой показ</t>
        </is>
      </c>
      <c r="B14" s="14" t="n">
        <v>1600</v>
      </c>
      <c r="C14" s="6" t="n">
        <v>1</v>
      </c>
      <c r="D14" t="inlineStr">
        <is>
          <t>[П]</t>
        </is>
      </c>
      <c r="F14" s="7" t="inlineStr">
        <is>
          <t>Розница ок. 33 USD. Приватный сеанс — отдельная цена</t>
        </is>
      </c>
    </row>
    <row r="15">
      <c r="A15" t="inlineStr">
        <is>
          <t>Абу-Симбел, два храма</t>
        </is>
      </c>
      <c r="B15" s="14" t="n">
        <v>400</v>
      </c>
      <c r="C15" s="6" t="n">
        <v>1</v>
      </c>
      <c r="D15" t="inlineStr">
        <is>
          <t>[П]</t>
        </is>
      </c>
      <c r="F15" s="7" t="inlineStr"/>
    </row>
    <row r="16">
      <c r="A16" t="inlineStr">
        <is>
          <t>Сад на острове Китченера</t>
        </is>
      </c>
      <c r="B16" s="14" t="n">
        <v>150</v>
      </c>
      <c r="C16" s="6" t="n">
        <v>1</v>
      </c>
      <c r="D16" t="inlineStr">
        <is>
          <t>[О]</t>
        </is>
      </c>
      <c r="F16" s="7" t="inlineStr">
        <is>
          <t>Опция</t>
        </is>
      </c>
    </row>
    <row r="17">
      <c r="A17" t="inlineStr">
        <is>
          <t>Луксорский музей</t>
        </is>
      </c>
      <c r="B17" s="14" t="n">
        <v>300</v>
      </c>
      <c r="C17" s="6" t="n">
        <v>0</v>
      </c>
      <c r="D17" t="inlineStr">
        <is>
          <t>[О]</t>
        </is>
      </c>
      <c r="F17" s="7" t="inlineStr">
        <is>
          <t>Опция, только если позволяет время</t>
        </is>
      </c>
    </row>
    <row r="18">
      <c r="A18" s="5" t="inlineStr">
        <is>
          <t>ИТОГО, EGP</t>
        </is>
      </c>
      <c r="B18" s="15">
        <f>SUMPRODUCT(B5:B17,C5:C17)</f>
        <v/>
      </c>
    </row>
    <row r="20">
      <c r="A20" s="5" t="inlineStr">
        <is>
          <t>Курс EGP за 1 USD</t>
        </is>
      </c>
      <c r="B20" s="16" t="n">
        <v>48</v>
      </c>
      <c r="C20" s="16" t="n">
        <v>52</v>
      </c>
    </row>
    <row r="21">
      <c r="A21" s="5" t="inlineStr">
        <is>
          <t>Итого, USD</t>
        </is>
      </c>
      <c r="B21" s="14">
        <f>B18/C20</f>
        <v/>
      </c>
      <c r="C21" s="14">
        <f>B18/B20</f>
        <v/>
      </c>
    </row>
    <row r="22">
      <c r="A22" s="5" t="inlineStr">
        <is>
          <t>Запас на рост тарифов к январю 2027, %</t>
        </is>
      </c>
      <c r="B22" s="16" t="n">
        <v>20</v>
      </c>
      <c r="C22" s="16" t="n">
        <v>30</v>
      </c>
    </row>
    <row r="23">
      <c r="A23" s="11" t="inlineStr">
        <is>
          <t>В СМЕТУ, USD на гостя</t>
        </is>
      </c>
      <c r="B23" s="17">
        <f>B21*(1+B22/100)</f>
        <v/>
      </c>
      <c r="C23" s="17">
        <f>C21*(1+C22/100)</f>
        <v/>
      </c>
    </row>
    <row r="25">
      <c r="A25" s="2" t="inlineStr">
        <is>
          <t>Министерство туризма и древностей повышает тарифы регулярно. Запрашивайте у DMC прайс на январь 2027, а не на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18" customWidth="1" min="4" max="4"/>
    <col width="14" customWidth="1" min="5" max="5"/>
    <col width="30" customWidth="1" min="6" max="6"/>
    <col width="20" customWidth="1" min="7" max="7"/>
    <col width="16" customWidth="1" min="8" max="8"/>
  </cols>
  <sheetData>
    <row r="1">
      <c r="A1" s="13" t="inlineStr">
        <is>
          <t>ФАЙЛ СТАТУСОВ УСЛУГ · единственный документ, по которому услуга считается существующей</t>
        </is>
      </c>
    </row>
    <row r="2">
      <c r="A2" s="2" t="inlineStr">
        <is>
          <t>Правило: статус «подтверждено» без номера заявки считается «не запрошено». Слова «всё в порядке» статус не меняют.</t>
        </is>
      </c>
    </row>
    <row r="4">
      <c r="A4" s="4" t="inlineStr">
        <is>
          <t>Услуга</t>
        </is>
      </c>
      <c r="B4" s="4" t="inlineStr">
        <is>
          <t>Поставщик</t>
        </is>
      </c>
      <c r="C4" s="4" t="inlineStr">
        <is>
          <t>Номер заявки / брони</t>
        </is>
      </c>
      <c r="D4" s="4" t="inlineStr">
        <is>
          <t>Статус</t>
        </is>
      </c>
      <c r="E4" s="4" t="inlineStr">
        <is>
          <t>Оплачено</t>
        </is>
      </c>
      <c r="F4" s="4" t="inlineStr">
        <is>
          <t>Условия отмены</t>
        </is>
      </c>
      <c r="G4" s="4" t="inlineStr">
        <is>
          <t>Крайний срок решения</t>
        </is>
      </c>
      <c r="H4" s="4" t="inlineStr">
        <is>
          <t>Ответственный</t>
        </is>
      </c>
    </row>
    <row r="5">
      <c r="A5" s="18" t="inlineStr">
        <is>
          <t>Фрахт судна — чартер и депозит</t>
        </is>
      </c>
      <c r="B5" s="19" t="n"/>
      <c r="C5" s="19" t="n"/>
      <c r="D5" s="19" t="inlineStr">
        <is>
          <t>запрошено</t>
        </is>
      </c>
      <c r="E5" s="19" t="n"/>
      <c r="F5" s="19" t="n"/>
      <c r="G5" s="19" t="n"/>
      <c r="H5" s="19" t="n"/>
    </row>
    <row r="6">
      <c r="A6" s="18" t="inlineStr">
        <is>
          <t>Техническое задание на рабочий салон</t>
        </is>
      </c>
      <c r="B6" s="19" t="n"/>
      <c r="C6" s="19" t="n"/>
      <c r="D6" s="19" t="inlineStr">
        <is>
          <t>запрошено</t>
        </is>
      </c>
      <c r="E6" s="19" t="n"/>
      <c r="F6" s="19" t="n"/>
      <c r="G6" s="19" t="n"/>
      <c r="H6" s="19" t="n"/>
    </row>
    <row r="7">
      <c r="A7" s="18" t="inlineStr">
        <is>
          <t>Ставка за ночь стоянки 29/30</t>
        </is>
      </c>
      <c r="B7" s="19" t="n"/>
      <c r="C7" s="19" t="n"/>
      <c r="D7" s="19" t="inlineStr">
        <is>
          <t>запрошено</t>
        </is>
      </c>
      <c r="E7" s="19" t="n"/>
      <c r="F7" s="19" t="n"/>
      <c r="G7" s="19" t="n"/>
      <c r="H7" s="19" t="n"/>
    </row>
    <row r="8">
      <c r="A8" s="18" t="inlineStr">
        <is>
          <t>Каюты гида, ведущего, сопровождающих</t>
        </is>
      </c>
      <c r="B8" s="19" t="n"/>
      <c r="C8" s="19" t="n"/>
      <c r="D8" s="19" t="inlineStr">
        <is>
          <t>запрошено</t>
        </is>
      </c>
      <c r="E8" s="19" t="n"/>
      <c r="F8" s="19" t="n"/>
      <c r="G8" s="19" t="n"/>
      <c r="H8" s="19" t="n"/>
    </row>
    <row r="9">
      <c r="A9" s="18" t="inlineStr">
        <is>
          <t>Marriott Mena House, 2 ночи</t>
        </is>
      </c>
      <c r="B9" s="19" t="n"/>
      <c r="C9" s="19" t="n"/>
      <c r="D9" s="19" t="inlineStr">
        <is>
          <t>запрошено</t>
        </is>
      </c>
      <c r="E9" s="19" t="n"/>
      <c r="F9" s="19" t="n"/>
      <c r="G9" s="19" t="n"/>
      <c r="H9" s="19" t="n"/>
    </row>
    <row r="10">
      <c r="A10" s="18" t="inlineStr">
        <is>
          <t>Hilton Luxor, 1 ночь (вариант B)</t>
        </is>
      </c>
      <c r="B10" s="19" t="n"/>
      <c r="C10" s="19" t="n"/>
      <c r="D10" s="19" t="inlineStr">
        <is>
          <t>запрошено</t>
        </is>
      </c>
      <c r="E10" s="19" t="n"/>
      <c r="F10" s="19" t="n"/>
      <c r="G10" s="19" t="n"/>
      <c r="H10" s="19" t="n"/>
    </row>
    <row r="11">
      <c r="A11" s="18" t="inlineStr">
        <is>
          <t>Mövenpick Aswan (резерв размещения)</t>
        </is>
      </c>
      <c r="B11" s="19" t="n"/>
      <c r="C11" s="19" t="n"/>
      <c r="D11" s="19" t="inlineStr">
        <is>
          <t>запрошено</t>
        </is>
      </c>
      <c r="E11" s="19" t="n"/>
      <c r="F11" s="19" t="n"/>
      <c r="G11" s="19" t="n"/>
      <c r="H11" s="19" t="n"/>
    </row>
    <row r="12">
      <c r="A12" s="18" t="inlineStr">
        <is>
          <t>Договор с DMC на наземную часть</t>
        </is>
      </c>
      <c r="B12" s="19" t="n"/>
      <c r="C12" s="19" t="n"/>
      <c r="D12" s="19" t="inlineStr">
        <is>
          <t>запрошено</t>
        </is>
      </c>
      <c r="E12" s="19" t="n"/>
      <c r="F12" s="19" t="n"/>
      <c r="G12" s="19" t="n"/>
      <c r="H12" s="19" t="n"/>
    </row>
    <row r="13">
      <c r="A13" s="18" t="inlineStr">
        <is>
          <t>Русскоязычный египтолог</t>
        </is>
      </c>
      <c r="B13" s="19" t="n"/>
      <c r="C13" s="19" t="n"/>
      <c r="D13" s="19" t="inlineStr">
        <is>
          <t>запрошено</t>
        </is>
      </c>
      <c r="E13" s="19" t="n"/>
      <c r="F13" s="19" t="n"/>
      <c r="G13" s="19" t="n"/>
      <c r="H13" s="19" t="n"/>
    </row>
    <row r="14">
      <c r="A14" s="18" t="inlineStr">
        <is>
          <t>Перелёт CAI–LXR 25.01</t>
        </is>
      </c>
      <c r="B14" s="19" t="n"/>
      <c r="C14" s="19" t="n"/>
      <c r="D14" s="19" t="inlineStr">
        <is>
          <t>запрошено</t>
        </is>
      </c>
      <c r="E14" s="19" t="n"/>
      <c r="F14" s="19" t="n"/>
      <c r="G14" s="19" t="n"/>
      <c r="H14" s="19" t="n"/>
    </row>
    <row r="15">
      <c r="A15" s="18" t="inlineStr">
        <is>
          <t>Перелёт ASW–CAI 30.01</t>
        </is>
      </c>
      <c r="B15" s="19" t="n"/>
      <c r="C15" s="19" t="n"/>
      <c r="D15" s="19" t="inlineStr">
        <is>
          <t>запрошено</t>
        </is>
      </c>
      <c r="E15" s="19" t="n"/>
      <c r="F15" s="19" t="n"/>
      <c r="G15" s="19" t="n"/>
      <c r="H15" s="19" t="n"/>
    </row>
    <row r="16">
      <c r="A16" s="18" t="inlineStr">
        <is>
          <t>Слот в GEM 24.01</t>
        </is>
      </c>
      <c r="B16" s="19" t="n"/>
      <c r="C16" s="19" t="n"/>
      <c r="D16" s="19" t="inlineStr">
        <is>
          <t>запрошено</t>
        </is>
      </c>
      <c r="E16" s="19" t="n"/>
      <c r="F16" s="19" t="n"/>
      <c r="G16" s="19" t="n"/>
      <c r="H16" s="19" t="n"/>
    </row>
    <row r="17">
      <c r="A17" s="18" t="inlineStr">
        <is>
          <t>Ночной приватный доступ в Гизу 24.01</t>
        </is>
      </c>
      <c r="B17" s="19" t="n"/>
      <c r="C17" s="19" t="n"/>
      <c r="D17" s="19" t="inlineStr">
        <is>
          <t>запрошено</t>
        </is>
      </c>
      <c r="E17" s="19" t="n"/>
      <c r="F17" s="19" t="n"/>
      <c r="G17" s="19" t="n"/>
      <c r="H17" s="19" t="n"/>
    </row>
    <row r="18">
      <c r="A18" s="18" t="inlineStr">
        <is>
          <t>Филе: приватный визит и показ 28.01</t>
        </is>
      </c>
      <c r="B18" s="19" t="n"/>
      <c r="C18" s="19" t="n"/>
      <c r="D18" s="19" t="inlineStr">
        <is>
          <t>запрошено</t>
        </is>
      </c>
      <c r="E18" s="19" t="n"/>
      <c r="F18" s="19" t="n"/>
      <c r="G18" s="19" t="n"/>
      <c r="H18" s="19" t="n"/>
    </row>
    <row r="19">
      <c r="A19" s="18" t="inlineStr">
        <is>
          <t>Моторная лодка на Филе</t>
        </is>
      </c>
      <c r="B19" s="19" t="n"/>
      <c r="C19" s="19" t="n"/>
      <c r="D19" s="19" t="inlineStr">
        <is>
          <t>запрошено</t>
        </is>
      </c>
      <c r="E19" s="19" t="n"/>
      <c r="F19" s="19" t="n"/>
      <c r="G19" s="19" t="n"/>
      <c r="H19" s="19" t="n"/>
    </row>
    <row r="20">
      <c r="A20" s="18" t="inlineStr">
        <is>
          <t>Фелюкка и сад Китченера</t>
        </is>
      </c>
      <c r="B20" s="19" t="n"/>
      <c r="C20" s="19" t="n"/>
      <c r="D20" s="19" t="inlineStr">
        <is>
          <t>запрошено</t>
        </is>
      </c>
      <c r="E20" s="19" t="n"/>
      <c r="F20" s="19" t="n"/>
      <c r="G20" s="19" t="n"/>
      <c r="H20" s="19" t="n"/>
    </row>
    <row r="21">
      <c r="A21" s="18" t="inlineStr">
        <is>
          <t>Абу-Симбел: транспорт, гид, билеты</t>
        </is>
      </c>
      <c r="B21" s="19" t="n"/>
      <c r="C21" s="19" t="n"/>
      <c r="D21" s="19" t="inlineStr">
        <is>
          <t>запрошено</t>
        </is>
      </c>
      <c r="E21" s="19" t="n"/>
      <c r="F21" s="19" t="n"/>
      <c r="G21" s="19" t="n"/>
      <c r="H21" s="19" t="n"/>
    </row>
    <row r="22">
      <c r="A22" s="18" t="inlineStr">
        <is>
          <t>Багажная машина 29.01</t>
        </is>
      </c>
      <c r="B22" s="19" t="n"/>
      <c r="C22" s="19" t="n"/>
      <c r="D22" s="19" t="inlineStr">
        <is>
          <t>запрошено</t>
        </is>
      </c>
      <c r="E22" s="19" t="n"/>
      <c r="F22" s="19" t="n"/>
      <c r="G22" s="19" t="n"/>
      <c r="H22" s="19" t="n"/>
    </row>
    <row r="23">
      <c r="A23" s="18" t="inlineStr">
        <is>
          <t>Гала-ужин Old Cataract 29.01</t>
        </is>
      </c>
      <c r="B23" s="19" t="n"/>
      <c r="C23" s="19" t="n"/>
      <c r="D23" s="19" t="inlineStr">
        <is>
          <t>запрошено</t>
        </is>
      </c>
      <c r="E23" s="19" t="n"/>
      <c r="F23" s="19" t="n"/>
      <c r="G23" s="19" t="n"/>
      <c r="H23" s="19" t="n"/>
    </row>
    <row r="24">
      <c r="A24" s="18" t="inlineStr">
        <is>
          <t>Нубийский ансамбль на борту</t>
        </is>
      </c>
      <c r="B24" s="19" t="n"/>
      <c r="C24" s="19" t="n"/>
      <c r="D24" s="19" t="inlineStr">
        <is>
          <t>запрошено</t>
        </is>
      </c>
      <c r="E24" s="19" t="n"/>
      <c r="F24" s="19" t="n"/>
      <c r="G24" s="19" t="n"/>
      <c r="H24" s="19" t="n"/>
    </row>
    <row r="25">
      <c r="A25" s="18" t="inlineStr">
        <is>
          <t>Воздушный шар 26.01 (опция)</t>
        </is>
      </c>
      <c r="B25" s="19" t="n"/>
      <c r="C25" s="19" t="n"/>
      <c r="D25" s="19" t="inlineStr">
        <is>
          <t>запрошено</t>
        </is>
      </c>
      <c r="E25" s="19" t="n"/>
      <c r="F25" s="19" t="n"/>
      <c r="G25" s="19" t="n"/>
      <c r="H25" s="19" t="n"/>
    </row>
    <row r="26">
      <c r="A26" s="18" t="inlineStr">
        <is>
          <t>Ранние завтраки и ланч-боксы</t>
        </is>
      </c>
      <c r="B26" s="19" t="n"/>
      <c r="C26" s="19" t="n"/>
      <c r="D26" s="19" t="inlineStr">
        <is>
          <t>запрошено</t>
        </is>
      </c>
      <c r="E26" s="19" t="n"/>
      <c r="F26" s="19" t="n"/>
      <c r="G26" s="19" t="n"/>
      <c r="H26" s="19" t="n"/>
    </row>
    <row r="27">
      <c r="A27" s="18" t="inlineStr">
        <is>
          <t>Кофе-брейки рабочих сессий</t>
        </is>
      </c>
      <c r="B27" s="19" t="n"/>
      <c r="C27" s="19" t="n"/>
      <c r="D27" s="19" t="inlineStr">
        <is>
          <t>запрошено</t>
        </is>
      </c>
      <c r="E27" s="19" t="n"/>
      <c r="F27" s="19" t="n"/>
      <c r="G27" s="19" t="n"/>
      <c r="H27" s="19" t="n"/>
    </row>
    <row r="28">
      <c r="A28" s="18" t="inlineStr">
        <is>
          <t>Входные билеты на все памятники</t>
        </is>
      </c>
      <c r="B28" s="19" t="n"/>
      <c r="C28" s="19" t="n"/>
      <c r="D28" s="19" t="inlineStr">
        <is>
          <t>запрошено</t>
        </is>
      </c>
      <c r="E28" s="19" t="n"/>
      <c r="F28" s="19" t="n"/>
      <c r="G28" s="19" t="n"/>
      <c r="H28" s="19" t="n"/>
    </row>
    <row r="29">
      <c r="A29" s="18" t="inlineStr">
        <is>
          <t>Fast track в Каире</t>
        </is>
      </c>
      <c r="B29" s="19" t="n"/>
      <c r="C29" s="19" t="n"/>
      <c r="D29" s="19" t="inlineStr">
        <is>
          <t>запрошено</t>
        </is>
      </c>
      <c r="E29" s="19" t="n"/>
      <c r="F29" s="19" t="n"/>
      <c r="G29" s="19" t="n"/>
      <c r="H29" s="19" t="n"/>
    </row>
    <row r="30">
      <c r="A30" s="18" t="inlineStr">
        <is>
          <t>Страховка и экстренные контакты</t>
        </is>
      </c>
      <c r="B30" s="19" t="n"/>
      <c r="C30" s="19" t="n"/>
      <c r="D30" s="19" t="inlineStr">
        <is>
          <t>запрошено</t>
        </is>
      </c>
      <c r="E30" s="19" t="n"/>
      <c r="F30" s="19" t="n"/>
      <c r="G30" s="19" t="n"/>
      <c r="H30" s="19" t="n"/>
    </row>
    <row r="31">
      <c r="A31" s="18" t="inlineStr">
        <is>
          <t>Паспортные данные гостей</t>
        </is>
      </c>
      <c r="B31" s="19" t="n"/>
      <c r="C31" s="19" t="n"/>
      <c r="D31" s="19" t="inlineStr">
        <is>
          <t>запрошено</t>
        </is>
      </c>
      <c r="E31" s="19" t="n"/>
      <c r="F31" s="19" t="n"/>
      <c r="G31" s="19" t="n"/>
      <c r="H31" s="19" t="n"/>
    </row>
    <row r="32">
      <c r="A32" s="18" t="inlineStr">
        <is>
          <t>Rooming list по отелям</t>
        </is>
      </c>
      <c r="B32" s="19" t="n"/>
      <c r="C32" s="19" t="n"/>
      <c r="D32" s="19" t="inlineStr">
        <is>
          <t>запрошено</t>
        </is>
      </c>
      <c r="E32" s="19" t="n"/>
      <c r="F32" s="19" t="n"/>
      <c r="G32" s="19" t="n"/>
      <c r="H32" s="19" t="n"/>
    </row>
    <row r="33">
      <c r="A33" s="18" t="inlineStr">
        <is>
          <t>Rooming list по каютам</t>
        </is>
      </c>
      <c r="B33" s="19" t="n"/>
      <c r="C33" s="19" t="n"/>
      <c r="D33" s="19" t="inlineStr">
        <is>
          <t>запрошено</t>
        </is>
      </c>
      <c r="E33" s="19" t="n"/>
      <c r="F33" s="19" t="n"/>
      <c r="G33" s="19" t="n"/>
      <c r="H33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3" t="inlineStr">
        <is>
          <t>СРАВНЕНИЕ ВАРИАНТОВ РЕЧНОГО УЧАСТКА</t>
        </is>
      </c>
    </row>
    <row r="3">
      <c r="A3" s="20" t="inlineStr"/>
      <c r="B3" s="20" t="inlineStr">
        <is>
          <t>A: 4 ночи 25–29</t>
        </is>
      </c>
      <c r="C3" s="20" t="inlineStr">
        <is>
          <t>B: 3 ночи 26–29</t>
        </is>
      </c>
      <c r="D3" s="20" t="inlineStr">
        <is>
          <t>B1: 3 ночи, посадка в Эсне</t>
        </is>
      </c>
      <c r="E3" s="20" t="inlineStr">
        <is>
          <t>C: 2 ночи + 2 в Асуане</t>
        </is>
      </c>
    </row>
    <row r="4">
      <c r="A4" s="21" t="inlineStr">
        <is>
          <t>Ночей фрахта</t>
        </is>
      </c>
      <c r="B4" s="18" t="inlineStr">
        <is>
          <t>4 (+1 стоянка)</t>
        </is>
      </c>
      <c r="C4" s="18" t="inlineStr">
        <is>
          <t>3</t>
        </is>
      </c>
      <c r="D4" s="18" t="inlineStr">
        <is>
          <t>3</t>
        </is>
      </c>
      <c r="E4" s="18" t="inlineStr">
        <is>
          <t>2</t>
        </is>
      </c>
    </row>
    <row r="5">
      <c r="A5" s="21" t="inlineStr">
        <is>
          <t>Ночёвка в Hilton Luxor</t>
        </is>
      </c>
      <c r="B5" s="18" t="inlineStr">
        <is>
          <t>нет</t>
        </is>
      </c>
      <c r="C5" s="18" t="inlineStr">
        <is>
          <t>да</t>
        </is>
      </c>
      <c r="D5" s="18" t="inlineStr">
        <is>
          <t>да</t>
        </is>
      </c>
      <c r="E5" s="18" t="inlineStr">
        <is>
          <t>да</t>
        </is>
      </c>
    </row>
    <row r="6">
      <c r="A6" s="21" t="inlineStr">
        <is>
          <t>Смен размещения за поездку</t>
        </is>
      </c>
      <c r="B6" s="18" t="inlineStr">
        <is>
          <t>3</t>
        </is>
      </c>
      <c r="C6" s="18" t="inlineStr">
        <is>
          <t>4</t>
        </is>
      </c>
      <c r="D6" s="18" t="inlineStr">
        <is>
          <t>4</t>
        </is>
      </c>
      <c r="E6" s="18" t="inlineStr">
        <is>
          <t>5</t>
        </is>
      </c>
    </row>
    <row r="7">
      <c r="A7" s="21" t="inlineStr">
        <is>
          <t>Риск шлюза для гостей</t>
        </is>
      </c>
      <c r="B7" s="18" t="inlineStr">
        <is>
          <t>низкий</t>
        </is>
      </c>
      <c r="C7" s="18" t="inlineStr">
        <is>
          <t>высокий</t>
        </is>
      </c>
      <c r="D7" s="18" t="inlineStr">
        <is>
          <t>НУЛЕВОЙ</t>
        </is>
      </c>
      <c r="E7" s="18" t="inlineStr">
        <is>
          <t>высокий</t>
        </is>
      </c>
    </row>
    <row r="8">
      <c r="A8" s="21" t="inlineStr">
        <is>
          <t>Нагрузка утра 26 января</t>
        </is>
      </c>
      <c r="B8" s="18" t="inlineStr">
        <is>
          <t>низкая</t>
        </is>
      </c>
      <c r="C8" s="18" t="inlineStr">
        <is>
          <t>ОЧЕНЬ ВЫСОКАЯ</t>
        </is>
      </c>
      <c r="D8" s="18" t="inlineStr">
        <is>
          <t>высокая</t>
        </is>
      </c>
      <c r="E8" s="18" t="inlineStr">
        <is>
          <t>очень высокая</t>
        </is>
      </c>
    </row>
    <row r="9">
      <c r="A9" s="21" t="inlineStr">
        <is>
          <t>Рабочих сессий на борту</t>
        </is>
      </c>
      <c r="B9" s="18" t="inlineStr">
        <is>
          <t>3</t>
        </is>
      </c>
      <c r="C9" s="18" t="inlineStr">
        <is>
          <t>3 (одна под угрозой)</t>
        </is>
      </c>
      <c r="D9" s="18" t="inlineStr">
        <is>
          <t>3</t>
        </is>
      </c>
      <c r="E9" s="18" t="inlineStr">
        <is>
          <t>2</t>
        </is>
      </c>
    </row>
    <row r="10">
      <c r="A10" s="21" t="inlineStr">
        <is>
          <t>Хатшепсут + Дейр-эль-Медина</t>
        </is>
      </c>
      <c r="B10" s="18" t="inlineStr">
        <is>
          <t>да</t>
        </is>
      </c>
      <c r="C10" s="18" t="inlineStr">
        <is>
          <t>одно из двух</t>
        </is>
      </c>
      <c r="D10" s="18" t="inlineStr">
        <is>
          <t>да</t>
        </is>
      </c>
      <c r="E10" s="18" t="inlineStr">
        <is>
          <t>одно из двух</t>
        </is>
      </c>
    </row>
    <row r="11">
      <c r="A11" s="21" t="inlineStr">
        <is>
          <t>Зависимость от Old Cataract</t>
        </is>
      </c>
      <c r="B11" s="18" t="inlineStr">
        <is>
          <t>1 ночь или 0</t>
        </is>
      </c>
      <c r="C11" s="18" t="inlineStr">
        <is>
          <t>1 ночь</t>
        </is>
      </c>
      <c r="D11" s="18" t="inlineStr">
        <is>
          <t>1 ночь</t>
        </is>
      </c>
      <c r="E11" s="18" t="inlineStr">
        <is>
          <t>2 НОЧИ — невозможно</t>
        </is>
      </c>
    </row>
    <row r="12">
      <c r="A12" s="21" t="inlineStr">
        <is>
          <t>Багаж: лишний цикл перевозки</t>
        </is>
      </c>
      <c r="B12" s="18" t="inlineStr">
        <is>
          <t>нет</t>
        </is>
      </c>
      <c r="C12" s="18" t="inlineStr">
        <is>
          <t>да, 26.01</t>
        </is>
      </c>
      <c r="D12" s="18" t="inlineStr">
        <is>
          <t>да, 26.01</t>
        </is>
      </c>
      <c r="E12" s="18" t="inlineStr">
        <is>
          <t>да, дважды</t>
        </is>
      </c>
    </row>
    <row r="13">
      <c r="A13" s="21" t="inlineStr">
        <is>
          <t>Относительная цена</t>
        </is>
      </c>
      <c r="B13" s="18" t="inlineStr">
        <is>
          <t>база</t>
        </is>
      </c>
      <c r="C13" s="18" t="inlineStr">
        <is>
          <t>–300…–600 USD</t>
        </is>
      </c>
      <c r="D13" s="18" t="inlineStr">
        <is>
          <t>–200…–500 USD</t>
        </is>
      </c>
      <c r="E13" s="18" t="inlineStr">
        <is>
          <t>–500…–1 200 USD</t>
        </is>
      </c>
    </row>
    <row r="14">
      <c r="A14" s="22" t="inlineStr">
        <is>
          <t>ВЕРДИКТ</t>
        </is>
      </c>
      <c r="B14" s="22" t="inlineStr">
        <is>
          <t>РЕКОМЕНДУЮ</t>
        </is>
      </c>
      <c r="C14" s="22" t="inlineStr">
        <is>
          <t>допустимо</t>
        </is>
      </c>
      <c r="D14" s="22" t="inlineStr">
        <is>
          <t>РЕКОМЕНДУЮ, если борт не ходит ночью</t>
        </is>
      </c>
      <c r="E14" s="22" t="inlineStr">
        <is>
          <t>отложить</t>
        </is>
      </c>
    </row>
    <row r="16">
      <c r="A16" s="23" t="inlineStr">
        <is>
          <t>Ключевое решение: ответ на вопрос «имеет ли борт право двигаться после наступления темноты» определяет, какой вариант вы покупаете.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2026-09-12T15:30:56Z</dcterms:created>
  <dcterms:modified xmlns:dcterms="http://purl.org/dc/terms/" xmlns:xsi="http://www.w3.org/2001/XMLSchema-instance" xsi:type="dcterms:W3CDTF">2026-09-12T15:32:52Z</dcterms:modified>
</cp:coreProperties>
</file>