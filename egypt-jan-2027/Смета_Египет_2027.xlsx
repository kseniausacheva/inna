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6E8F13"/>
    </font>
    <font>
      <b val="1"/>
      <color rgb="00A85CB0"/>
    </font>
    <font>
      <b val="1"/>
      <color rgb="005B46B8"/>
      <sz val="13"/>
    </font>
    <font>
      <b val="1"/>
      <color rgb="005B46B8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0" fontId="8" fillId="0" borderId="0" pivotButton="0" quotePrefix="0" xfId="0"/>
    <xf numFmtId="3" fontId="0" fillId="6" borderId="1" pivotButton="0" quotePrefix="0" xfId="0"/>
    <xf numFmtId="3" fontId="0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3" borderId="1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Giza Palace, ночь</t>
        </is>
      </c>
      <c r="B19" s="6" t="n">
        <v>325</v>
      </c>
      <c r="C19" s="2" t="inlineStr">
        <is>
          <t>за номер за ночь</t>
        </is>
      </c>
      <c r="D19" s="12">
        <f>B19*2</f>
        <v/>
      </c>
      <c r="E19" s="12">
        <f>B19*2</f>
        <v/>
      </c>
      <c r="F19" s="7" t="inlineStr">
        <is>
          <t>Две ночи. Открытые источники 222–349. Запросить групповой тариф</t>
        </is>
      </c>
    </row>
    <row r="20">
      <c r="A20" s="11" t="inlineStr">
        <is>
          <t>Steigenberger Nile Palace, ночь</t>
        </is>
      </c>
      <c r="B20" s="6" t="n">
        <v>170</v>
      </c>
      <c r="C20" s="2" t="inlineStr">
        <is>
          <t>за номер за ночь</t>
        </is>
      </c>
      <c r="D20" s="12">
        <f>B20</f>
        <v/>
      </c>
      <c r="E20" s="12">
        <f>B20</f>
        <v/>
      </c>
      <c r="F20" s="7" t="inlineStr">
        <is>
          <t>Открытые источники 120–176. Запросить групповой тариф</t>
        </is>
      </c>
    </row>
    <row r="21">
      <c r="A21" s="11" t="inlineStr">
        <is>
          <t>Four Seasons Cairo, ночь</t>
        </is>
      </c>
      <c r="B21" s="6" t="n">
        <v>570</v>
      </c>
      <c r="C21" s="2" t="inlineStr">
        <is>
          <t>на гостя</t>
        </is>
      </c>
      <c r="D21" s="12">
        <f>B21</f>
        <v/>
      </c>
      <c r="E21" s="12">
        <f>B21</f>
        <v/>
      </c>
      <c r="F21" s="7" t="inlineStr">
        <is>
          <t>Названо отелем, все налоги включены</t>
        </is>
      </c>
    </row>
    <row r="22">
      <c r="A22" s="11" t="inlineStr">
        <is>
          <t>Прощальный ужин в Four Seasons</t>
        </is>
      </c>
      <c r="B22" s="6" t="n">
        <v>250</v>
      </c>
      <c r="C22" s="2" t="inlineStr">
        <is>
          <t>на гостя</t>
        </is>
      </c>
      <c r="D22" s="12">
        <f>B22</f>
        <v/>
      </c>
      <c r="E22" s="12">
        <f>0</f>
        <v/>
      </c>
      <c r="F22" s="7" t="inlineStr">
        <is>
          <t>Net или ++? С надбавками 319. Только вариант A</t>
        </is>
      </c>
    </row>
    <row r="23">
      <c r="A23" s="11" t="inlineStr">
        <is>
          <t>Ужин в Lucida</t>
        </is>
      </c>
      <c r="B23" s="6" t="n">
        <v>150</v>
      </c>
      <c r="C23" s="2" t="inlineStr">
        <is>
          <t>на гостя</t>
        </is>
      </c>
      <c r="D23" s="12">
        <f>B23</f>
        <v/>
      </c>
      <c r="E23" s="12">
        <f>B23</f>
        <v/>
      </c>
      <c r="F23" s="7" t="inlineStr">
        <is>
          <t>ПОДТВЕРЖДЕНО: 150 без алкоголя</t>
        </is>
      </c>
    </row>
    <row r="24">
      <c r="A24" s="11" t="inlineStr">
        <is>
          <t>Питание в отелях вне названных ресторанов</t>
        </is>
      </c>
      <c r="B24" s="6" t="n">
        <v>200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Наша оценка на всю поездку: ужин 40–60, обед 25–35</t>
        </is>
      </c>
    </row>
    <row r="25">
      <c r="A25" s="11" t="inlineStr">
        <is>
          <t>Полёт на шаре, две корзины</t>
        </is>
      </c>
      <c r="B25" s="6" t="n">
        <v>5000</v>
      </c>
      <c r="C25" s="2" t="inlineStr">
        <is>
          <t>за все корзины</t>
        </is>
      </c>
      <c r="D25" s="12">
        <f>B25/$B$6</f>
        <v/>
      </c>
      <c r="E25" s="12">
        <f>B25/$B$6</f>
        <v/>
      </c>
      <c r="F25" s="7" t="inlineStr">
        <is>
          <t>ПОДТВЕРЖДЕНО: две корзины, по 8 человек</t>
        </is>
      </c>
    </row>
    <row r="26">
      <c r="A26" s="11" t="inlineStr">
        <is>
          <t>Нубийский ансамбль</t>
        </is>
      </c>
      <c r="B26" s="6" t="n">
        <v>650</v>
      </c>
      <c r="C26" s="2" t="inlineStr">
        <is>
          <t>за вечер</t>
        </is>
      </c>
      <c r="D26" s="12">
        <f>B26/$B$6</f>
        <v/>
      </c>
      <c r="E26" s="12">
        <f>B26/$B$6</f>
        <v/>
      </c>
      <c r="F26" s="7" t="inlineStr">
        <is>
          <t>Наша оценка 400–900. Публичных прайсов нет</t>
        </is>
      </c>
    </row>
    <row r="27">
      <c r="A27" s="11" t="inlineStr">
        <is>
          <t>Гала-ужин на борту, вариант B</t>
        </is>
      </c>
      <c r="B27" s="6" t="n">
        <v>0</v>
      </c>
      <c r="C27" s="2" t="inlineStr">
        <is>
          <t>за группу</t>
        </is>
      </c>
      <c r="D27" s="12">
        <f>0</f>
        <v/>
      </c>
      <c r="E27" s="12">
        <f>B27/$B$6</f>
        <v/>
      </c>
      <c r="F27" s="8" t="inlineStr">
        <is>
          <t>ЦЕНЫ НЕТ. Меню, декор, музыка сверх пансиона</t>
        </is>
      </c>
    </row>
    <row r="28">
      <c r="A28" s="11" t="inlineStr">
        <is>
          <t>Наземная программа 22–25 января</t>
        </is>
      </c>
      <c r="B28" s="6" t="n">
        <v>0</v>
      </c>
      <c r="C28" s="2" t="inlineStr">
        <is>
          <t>за группу</t>
        </is>
      </c>
      <c r="D28" s="12">
        <f>B28/$B$6</f>
        <v/>
      </c>
      <c r="E28" s="12">
        <f>B28/$B$6</f>
        <v/>
      </c>
      <c r="F28" s="8" t="inlineStr">
        <is>
          <t>ЦЕНЫ НЕТ. Гид, транспорт, билеты, GEM. Крупнейшая дыра в смете</t>
        </is>
      </c>
    </row>
    <row r="29">
      <c r="A29" s="11" t="inlineStr">
        <is>
          <t>Перелёты Каир–Луксор и Асуан–Каир</t>
        </is>
      </c>
      <c r="B29" s="6" t="n">
        <v>0</v>
      </c>
      <c r="C29" s="2" t="inlineStr">
        <is>
          <t>на гостя</t>
        </is>
      </c>
      <c r="D29" s="12">
        <f>B29</f>
        <v/>
      </c>
      <c r="E29" s="12">
        <f>B29</f>
        <v/>
      </c>
      <c r="F29" s="8" t="inlineStr">
        <is>
          <t>ЦЕНЫ НЕТ. Групповой тариф. Места команды — на листе «Команда»</t>
        </is>
      </c>
    </row>
    <row r="30">
      <c r="A30" s="11" t="inlineStr">
        <is>
          <t>Прочее: Khufu's, meet &amp; greet, fast track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</t>
        </is>
      </c>
    </row>
    <row r="31">
      <c r="A31" s="11" t="inlineStr">
        <is>
          <t>Резерв на решения на месте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7" t="inlineStr">
        <is>
          <t>НЕ ЗАЛОЖЕН. Обычно 2–3 % от сметы. Ваше решение</t>
        </is>
      </c>
    </row>
    <row r="32">
      <c r="A32" s="11" t="inlineStr">
        <is>
          <t>КОМАНДА LA ROYAL</t>
        </is>
      </c>
      <c r="B32" s="12">
        <f>Команда!$B$21</f>
        <v/>
      </c>
      <c r="C32" s="2" t="inlineStr">
        <is>
          <t>за группу</t>
        </is>
      </c>
      <c r="D32" s="12">
        <f>B32*Команда!$B$23/$B$6</f>
        <v/>
      </c>
      <c r="E32" s="12">
        <f>B32*Команда!$B$23/$B$6</f>
        <v/>
      </c>
      <c r="F32" s="7" t="inlineStr">
        <is>
          <t>Переключатель «в себестоимость / из вознаграждения» — на листе «Команда»</t>
        </is>
      </c>
    </row>
    <row r="33">
      <c r="A33" s="5" t="inlineStr">
        <is>
          <t>СЕБЕСТОИМОСТЬ НА ГОСТЯ</t>
        </is>
      </c>
      <c r="D33" s="13">
        <f>SUM(D15:D32)</f>
        <v/>
      </c>
      <c r="E33" s="13">
        <f>SUM(E15:E32)</f>
        <v/>
      </c>
    </row>
    <row r="34">
      <c r="A34" s="5" t="inlineStr">
        <is>
          <t>Вознаграждение La Royal</t>
        </is>
      </c>
      <c r="D34" s="12">
        <f>D33*$B$11</f>
        <v/>
      </c>
      <c r="E34" s="12">
        <f>E33*$B$11</f>
        <v/>
      </c>
    </row>
    <row r="35">
      <c r="A35" s="14" t="inlineStr">
        <is>
          <t>ЦЕНА ДЛЯ ГОСТЯ</t>
        </is>
      </c>
      <c r="D35" s="15">
        <f>D33+D34</f>
        <v/>
      </c>
      <c r="E35" s="15">
        <f>E33+E34</f>
        <v/>
      </c>
    </row>
    <row r="36">
      <c r="A36" s="16" t="inlineStr">
        <is>
          <t>ОПЦИИ СВЕРХ ПРОГРАММЫ — оплачиваются отдельно, в цену выше не входят</t>
        </is>
      </c>
    </row>
    <row r="37">
      <c r="A37" s="11" t="inlineStr">
        <is>
          <t>Абу-Симбел самолётом, на человека</t>
        </is>
      </c>
      <c r="B37" s="6" t="n">
        <v>470</v>
      </c>
      <c r="F37" s="7" t="inlineStr">
        <is>
          <t>Летят не все. Билеты и транспорт на месте — цены пока нет</t>
        </is>
      </c>
    </row>
    <row r="38">
      <c r="A38" s="11" t="inlineStr">
        <is>
          <t>Абу-Симбел: билеты и транспорт на месте</t>
        </is>
      </c>
      <c r="B38" s="6" t="n">
        <v>0</v>
      </c>
      <c r="F38" s="8" t="inlineStr">
        <is>
          <t>ЦЕНЫ НЕТ</t>
        </is>
      </c>
    </row>
    <row r="40">
      <c r="A40" s="2" t="inlineStr">
        <is>
          <t>Вознаграждение со всей группы</t>
        </is>
      </c>
      <c r="D40" s="17">
        <f>D34*$B$6-Команда!$B$21*(1-Команда!$B$23)</f>
        <v/>
      </c>
      <c r="E40" s="17">
        <f>E34*$B$6-Команда!$B$21*(1-Команда!$B$23)</f>
        <v/>
      </c>
      <c r="F40" s="2" t="inlineStr">
        <is>
          <t>Если команда идёт из вознаграждения, её расходы вычитаются здесь</t>
        </is>
      </c>
    </row>
    <row r="41">
      <c r="A41" s="2" t="inlineStr">
        <is>
          <t>Если 15 % считать долей в цене, а не наценкой</t>
        </is>
      </c>
      <c r="D41" s="18">
        <f>D33/(1-$B$11)</f>
        <v/>
      </c>
      <c r="E41" s="18">
        <f>E33/(1-$B$11)</f>
        <v/>
      </c>
    </row>
    <row r="42">
      <c r="A42" s="2" t="inlineStr">
        <is>
          <t>Разница между двумя трактовками, на гостя</t>
        </is>
      </c>
      <c r="D42" s="18">
        <f>D41-D35</f>
        <v/>
      </c>
      <c r="E42" s="18">
        <f>E41-E35</f>
        <v/>
      </c>
    </row>
    <row r="44">
      <c r="A44" s="19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20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Рестораны и опции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Ужины в Lucida и Four Seasons</t>
        </is>
      </c>
      <c r="B18" s="12">
        <f>$B$7*400</f>
        <v/>
      </c>
      <c r="D18" s="7" t="inlineStr">
        <is>
          <t>150 + 250 на человека</t>
        </is>
      </c>
    </row>
    <row r="19">
      <c r="A19" s="11" t="inlineStr">
        <is>
          <t>Питание на берегу</t>
        </is>
      </c>
      <c r="B19" s="12">
        <f>$B$5*$B$11</f>
        <v/>
      </c>
      <c r="D19" s="7" t="inlineStr">
        <is>
          <t>Весь состав</t>
        </is>
      </c>
    </row>
    <row r="20">
      <c r="A20" s="11" t="inlineStr">
        <is>
          <t>Внутренние перелёты команды</t>
        </is>
      </c>
      <c r="B20" s="12">
        <f>0</f>
        <v/>
      </c>
      <c r="D20" s="8" t="inlineStr">
        <is>
          <t>ЦЕНЫ НЕТ. Заполнить, когда придёт тариф</t>
        </is>
      </c>
    </row>
    <row r="21">
      <c r="A21" s="5" t="inlineStr">
        <is>
          <t>ИТОГО РАСХОДЫ КОМАНДЫ</t>
        </is>
      </c>
      <c r="B21" s="13">
        <f>SUM(B14:B20)</f>
        <v/>
      </c>
    </row>
    <row r="22">
      <c r="A22" s="5" t="inlineStr">
        <is>
          <t>На одного гостя</t>
        </is>
      </c>
      <c r="B22" s="17">
        <f>B21/Калькулятор!$B$6</f>
        <v/>
      </c>
    </row>
    <row r="23">
      <c r="A23" s="21" t="inlineStr">
        <is>
          <t>ПЕРЕКЛЮЧАТЕЛЬ: 1 = в себестоимость, 0 = из вознаграждения</t>
        </is>
      </c>
      <c r="B23" s="22" t="n">
        <v>1</v>
      </c>
      <c r="D23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5">
      <c r="A25" s="16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20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2026-09-20T20:45:08Z</dcterms:created>
  <dcterms:modified xmlns:dcterms="http://purl.org/dc/terms/" xmlns:xsi="http://www.w3.org/2001/XMLSchema-instance" xsi:type="dcterms:W3CDTF">2026-09-20T20:45:08Z</dcterms:modified>
</cp:coreProperties>
</file>