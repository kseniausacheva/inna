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Обязательная часть для всех. Альтернатива по земле — см. лист «Абу-Симбел»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Four Seasons Cairo, ночь</t>
        </is>
      </c>
      <c r="B22" s="6" t="n">
        <v>570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Названо отелем, все налоги включены</t>
        </is>
      </c>
    </row>
    <row r="23">
      <c r="A23" s="11" t="inlineStr">
        <is>
          <t>Прощальный 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meet &amp; greet, fast track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Резерв на решения на месте</t>
        </is>
      </c>
      <c r="B32" s="6" t="n">
        <v>0</v>
      </c>
      <c r="C32" s="2" t="inlineStr">
        <is>
          <t>на гостя</t>
        </is>
      </c>
      <c r="D32" s="12">
        <f>B32</f>
        <v/>
      </c>
      <c r="E32" s="12">
        <f>B32</f>
        <v/>
      </c>
      <c r="F32" s="7" t="inlineStr">
        <is>
          <t>НЕ ЗАЛОЖЕН. Обычно 2–3 % от сметы. Ваше решение</t>
        </is>
      </c>
    </row>
    <row r="33">
      <c r="A33" s="11" t="inlineStr">
        <is>
          <t>ПРОПУЩЕННЫЕ СТАТЬИ — итог с листа «Пропущено»</t>
        </is>
      </c>
      <c r="B33" s="12">
        <f>Пропущено!$B$19</f>
        <v/>
      </c>
      <c r="C33" s="2" t="inlineStr">
        <is>
          <t>за группу</t>
        </is>
      </c>
      <c r="D33" s="12">
        <f>B33/$B$6</f>
        <v/>
      </c>
      <c r="E33" s="12">
        <f>B33/$B$6</f>
        <v/>
      </c>
      <c r="F33" s="7" t="inlineStr">
        <is>
          <t>Двенадцать позиций, найденных при сверке. Пока нули</t>
        </is>
      </c>
    </row>
    <row r="34">
      <c r="A34" s="11" t="inlineStr">
        <is>
          <t>КОМАНДА LA ROYAL</t>
        </is>
      </c>
      <c r="B34" s="12">
        <f>Команда!$B$22</f>
        <v/>
      </c>
      <c r="C34" s="2" t="inlineStr">
        <is>
          <t>за группу</t>
        </is>
      </c>
      <c r="D34" s="12">
        <f>B34*Команда!$B$24/$B$6</f>
        <v/>
      </c>
      <c r="E34" s="12">
        <f>B34*Команда!$B$24/$B$6</f>
        <v/>
      </c>
      <c r="F34" s="7" t="inlineStr">
        <is>
          <t>Переключатель «в себестоимость / из вознаграждения» — на листе «Команда»</t>
        </is>
      </c>
    </row>
    <row r="35">
      <c r="A35" s="5" t="inlineStr">
        <is>
          <t>СЕБЕСТОИМОСТЬ НА ГОСТЯ</t>
        </is>
      </c>
      <c r="D35" s="13">
        <f>SUM(D15:D34)</f>
        <v/>
      </c>
      <c r="E35" s="13">
        <f>SUM(E15:E34)</f>
        <v/>
      </c>
    </row>
    <row r="36">
      <c r="A36" s="5" t="inlineStr">
        <is>
          <t>Вознаграждение La Royal</t>
        </is>
      </c>
      <c r="D36" s="12">
        <f>D35*$B$11</f>
        <v/>
      </c>
      <c r="E36" s="12">
        <f>E35*$B$11</f>
        <v/>
      </c>
    </row>
    <row r="37">
      <c r="A37" s="14" t="inlineStr">
        <is>
          <t>ЦЕНА ДЛЯ ГОСТЯ</t>
        </is>
      </c>
      <c r="D37" s="15">
        <f>D35+D36</f>
        <v/>
      </c>
      <c r="E37" s="15">
        <f>E35+E36</f>
        <v/>
      </c>
    </row>
    <row r="38">
      <c r="A38" s="2" t="inlineStr">
        <is>
          <t>Вознаграждение со всей группы</t>
        </is>
      </c>
      <c r="D38" s="16">
        <f>D36*$B$6-Команда!$B$22*(1-Команда!$B$24)</f>
        <v/>
      </c>
      <c r="E38" s="16">
        <f>E36*$B$6-Команда!$B$22*(1-Команда!$B$24)</f>
        <v/>
      </c>
      <c r="F38" s="2" t="inlineStr">
        <is>
          <t>Если команда идёт из вознаграждения, её расходы вычитаются здесь</t>
        </is>
      </c>
    </row>
    <row r="39">
      <c r="A39" s="2" t="inlineStr">
        <is>
          <t>Если 15 % считать долей в цене, а не наценкой</t>
        </is>
      </c>
      <c r="D39" s="17">
        <f>D35/(1-$B$11)</f>
        <v/>
      </c>
      <c r="E39" s="17">
        <f>E35/(1-$B$11)</f>
        <v/>
      </c>
    </row>
    <row r="40">
      <c r="A40" s="2" t="inlineStr">
        <is>
          <t>Разница между двумя трактовками, на гостя</t>
        </is>
      </c>
      <c r="D40" s="17">
        <f>D39-D37</f>
        <v/>
      </c>
      <c r="E40" s="17">
        <f>E39-E37</f>
        <v/>
      </c>
    </row>
    <row r="42">
      <c r="A42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Four Seasons, за номер</t>
        </is>
      </c>
      <c r="B10" s="6" t="n">
        <v>570</v>
      </c>
      <c r="D10" s="7" t="inlineStr">
        <is>
          <t>С группой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Four Seasons, 1 ночь</t>
        </is>
      </c>
      <c r="B17" s="12">
        <f>ROUNDUP($B$5/$B$6,0)*$B$10</f>
        <v/>
      </c>
      <c r="D17" s="7" t="inlineStr">
        <is>
          <t>Номеров × цена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2026-09-20T20:55:55Z</dcterms:created>
  <dcterms:modified xmlns:dcterms="http://purl.org/dc/terms/" xmlns:xsi="http://www.w3.org/2001/XMLSchema-instance" xsi:type="dcterms:W3CDTF">2026-09-20T20:55:55Z</dcterms:modified>
</cp:coreProperties>
</file>