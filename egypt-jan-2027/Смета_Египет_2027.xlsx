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ькулятор" sheetId="1" state="visible" r:id="rId1"/>
    <sheet xmlns:r="http://schemas.openxmlformats.org/officeDocument/2006/relationships" name="Команда" sheetId="2" state="visible" r:id="rId2"/>
    <sheet xmlns:r="http://schemas.openxmlformats.org/officeDocument/2006/relationships" name="Вопросы поставщикам" sheetId="3" state="visible" r:id="rId3"/>
    <sheet xmlns:r="http://schemas.openxmlformats.org/officeDocument/2006/relationships" name="Абу-Симбел" sheetId="4" state="visible" r:id="rId4"/>
    <sheet xmlns:r="http://schemas.openxmlformats.org/officeDocument/2006/relationships" name="Пропущен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2">
    <font>
      <name val="Calibri"/>
      <family val="2"/>
      <color theme="1"/>
      <sz val="11"/>
      <scheme val="minor"/>
    </font>
    <font>
      <b val="1"/>
      <color rgb="005B46B8"/>
      <sz val="14"/>
    </font>
    <font>
      <i val="1"/>
      <color rgb="007A729C"/>
      <sz val="9"/>
    </font>
    <font>
      <b val="1"/>
      <color rgb="005B46B8"/>
      <sz val="11"/>
    </font>
    <font>
      <b val="1"/>
      <color rgb="00FFFFFF"/>
      <sz val="11"/>
    </font>
    <font>
      <b val="1"/>
    </font>
    <font>
      <b val="1"/>
      <color rgb="005B46B8"/>
      <sz val="12"/>
    </font>
    <font>
      <b val="1"/>
      <sz val="12"/>
    </font>
    <font>
      <b val="1"/>
      <color rgb="00A85CB0"/>
    </font>
    <font>
      <b val="1"/>
      <color rgb="005B46B8"/>
      <sz val="13"/>
    </font>
    <font>
      <b val="1"/>
      <color rgb="005B46B8"/>
    </font>
    <font>
      <b val="1"/>
      <color rgb="006E8F13"/>
    </font>
  </fonts>
  <fills count="8">
    <fill>
      <patternFill/>
    </fill>
    <fill>
      <patternFill patternType="gray125"/>
    </fill>
    <fill>
      <patternFill patternType="solid">
        <fgColor rgb="005B46B8"/>
      </patternFill>
    </fill>
    <fill>
      <patternFill patternType="solid">
        <fgColor rgb="00FFF2CC"/>
      </patternFill>
    </fill>
    <fill>
      <patternFill patternType="solid">
        <fgColor rgb="00FBF0FB"/>
      </patternFill>
    </fill>
    <fill>
      <patternFill patternType="solid">
        <fgColor rgb="00EFECFB"/>
      </patternFill>
    </fill>
    <fill>
      <patternFill patternType="solid">
        <fgColor rgb="00D9E2F3"/>
      </patternFill>
    </fill>
    <fill>
      <patternFill patternType="solid">
        <fgColor rgb="00C3E850"/>
      </patternFill>
    </fill>
  </fills>
  <borders count="2">
    <border>
      <left/>
      <right/>
      <top/>
      <bottom/>
      <diagonal/>
    </border>
    <border>
      <left style="thin">
        <color rgb="00E4DFF8"/>
      </left>
      <right style="thin">
        <color rgb="00E4DFF8"/>
      </right>
      <top style="thin">
        <color rgb="00E4DFF8"/>
      </top>
      <bottom style="thin">
        <color rgb="00E4DFF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3" fontId="0" fillId="3" borderId="1" pivotButton="0" quotePrefix="0" xfId="0"/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4" fontId="0" fillId="3" borderId="1" pivotButton="0" quotePrefix="0" xfId="0"/>
    <xf numFmtId="9" fontId="0" fillId="3" borderId="1" pivotButton="0" quotePrefix="0" xfId="0"/>
    <xf numFmtId="0" fontId="0" fillId="0" borderId="0" applyAlignment="1" pivotButton="0" quotePrefix="0" xfId="0">
      <alignment vertical="top" wrapText="1"/>
    </xf>
    <xf numFmtId="3" fontId="0" fillId="5" borderId="1" pivotButton="0" quotePrefix="0" xfId="0"/>
    <xf numFmtId="3" fontId="5" fillId="6" borderId="1" pivotButton="0" quotePrefix="0" xfId="0"/>
    <xf numFmtId="0" fontId="6" fillId="0" borderId="0" pivotButton="0" quotePrefix="0" xfId="0"/>
    <xf numFmtId="3" fontId="7" fillId="7" borderId="1" pivotButton="0" quotePrefix="0" xfId="0"/>
    <xf numFmtId="3" fontId="0" fillId="6" borderId="1" pivotButton="0" quotePrefix="0" xfId="0"/>
    <xf numFmtId="3" fontId="0" fillId="4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1" pivotButton="0" quotePrefix="0" xfId="0"/>
    <xf numFmtId="0" fontId="11" fillId="0" borderId="0" pivotButton="0" quotePrefix="0" xfId="0"/>
    <xf numFmtId="0" fontId="0" fillId="4" borderId="0" applyAlignment="1" pivotButton="0" quotePrefix="0" xfId="0">
      <alignment vertical="top" wrapText="1"/>
    </xf>
    <xf numFmtId="2" fontId="0" fillId="3" borderId="1" pivotButton="0" quotePrefix="0" xfId="0"/>
    <xf numFmtId="3" fontId="5" fillId="7" borderId="1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6" customWidth="1" min="3" max="3"/>
    <col width="13" customWidth="1" min="4" max="4"/>
    <col width="13" customWidth="1" min="5" max="5"/>
    <col width="50" customWidth="1" min="6" max="6"/>
  </cols>
  <sheetData>
    <row r="1">
      <c r="A1" s="1" t="inlineStr">
        <is>
          <t>СМЕТА НА ОДНОГО ГОСТЯ · Египет, январь 2027 · La Royal Event</t>
        </is>
      </c>
    </row>
    <row r="2">
      <c r="A2" s="2" t="inlineStr">
        <is>
          <t>Жёлтое меняем руками, сиреневое считается само. Цены поставщиков названы устно; цены отелей взяты из открытых источников и предложением не являются.</t>
        </is>
      </c>
    </row>
    <row r="4">
      <c r="A4" s="3" t="inlineStr">
        <is>
          <t>ИСХОДНЫЕ ДАННЫЕ</t>
        </is>
      </c>
    </row>
    <row r="5">
      <c r="A5" s="4" t="inlineStr">
        <is>
          <t>Параметр</t>
        </is>
      </c>
      <c r="B5" s="4" t="inlineStr">
        <is>
          <t>Значение</t>
        </is>
      </c>
      <c r="C5" s="4" t="inlineStr">
        <is>
          <t>Ед.</t>
        </is>
      </c>
      <c r="D5" s="4" t="inlineStr"/>
      <c r="E5" s="4" t="inlineStr"/>
      <c r="F5" s="4" t="inlineStr">
        <is>
          <t>Комментарий</t>
        </is>
      </c>
    </row>
    <row r="6">
      <c r="A6" s="5" t="inlineStr">
        <is>
          <t>Гостей</t>
        </is>
      </c>
      <c r="B6" s="6" t="n">
        <v>16</v>
      </c>
      <c r="C6" s="2" t="inlineStr">
        <is>
          <t>чел</t>
        </is>
      </c>
      <c r="F6" s="7" t="inlineStr">
        <is>
          <t>На это число делится всё</t>
        </is>
      </c>
    </row>
    <row r="7">
      <c r="A7" s="5" t="inlineStr">
        <is>
          <t>Дней фрахта, вариант A</t>
        </is>
      </c>
      <c r="B7" s="6" t="n">
        <v>4</v>
      </c>
      <c r="C7" s="2" t="inlineStr">
        <is>
          <t>дней</t>
        </is>
      </c>
      <c r="F7" s="7" t="inlineStr">
        <is>
          <t>25–29 января</t>
        </is>
      </c>
    </row>
    <row r="8">
      <c r="A8" s="5" t="inlineStr">
        <is>
          <t>Дней фрахта, вариант B</t>
        </is>
      </c>
      <c r="B8" s="6" t="n">
        <v>5</v>
      </c>
      <c r="C8" s="2" t="inlineStr">
        <is>
          <t>дней</t>
        </is>
      </c>
      <c r="F8" s="7" t="inlineStr">
        <is>
          <t>25–30 января</t>
        </is>
      </c>
    </row>
    <row r="9">
      <c r="A9" s="5" t="inlineStr">
        <is>
          <t>Фрахт за день, USD</t>
        </is>
      </c>
      <c r="B9" s="6" t="n">
        <v>54500</v>
      </c>
      <c r="C9" s="2" t="inlineStr">
        <is>
          <t>USD</t>
        </is>
      </c>
      <c r="F9" s="8" t="inlineStr">
        <is>
          <t>ПРОВЕРИТЬ: за ночь фрахта или за календарный день</t>
        </is>
      </c>
    </row>
    <row r="10">
      <c r="A10" s="5" t="inlineStr">
        <is>
          <t>Курс EUR/USD</t>
        </is>
      </c>
      <c r="B10" s="9" t="n">
        <v>1.1489</v>
      </c>
      <c r="C10" s="2" t="inlineStr"/>
      <c r="F10" s="7" t="inlineStr">
        <is>
          <t>На 20.09.2026. На дату платежа будет другим</t>
        </is>
      </c>
    </row>
    <row r="11">
      <c r="A11" s="5" t="inlineStr">
        <is>
          <t>Вознаграждение La Royal</t>
        </is>
      </c>
      <c r="B11" s="10" t="n">
        <v>0.15</v>
      </c>
      <c r="C11" s="2" t="inlineStr">
        <is>
          <t>доля</t>
        </is>
      </c>
      <c r="F11" s="7" t="inlineStr">
        <is>
          <t>Наценка на себестоимость</t>
        </is>
      </c>
    </row>
    <row r="13">
      <c r="A13" s="3" t="inlineStr">
        <is>
          <t>РАСЧЁТ</t>
        </is>
      </c>
      <c r="F13" s="2" t="inlineStr">
        <is>
          <t>Все строки, кроме последней, считаются только по гостям</t>
        </is>
      </c>
    </row>
    <row r="14">
      <c r="A14" s="4" t="inlineStr">
        <is>
          <t>Статья</t>
        </is>
      </c>
      <c r="B14" s="4" t="inlineStr">
        <is>
          <t>Цена</t>
        </is>
      </c>
      <c r="C14" s="4" t="inlineStr">
        <is>
          <t>Единица</t>
        </is>
      </c>
      <c r="D14" s="4" t="inlineStr">
        <is>
          <t>A, на гостя</t>
        </is>
      </c>
      <c r="E14" s="4" t="inlineStr">
        <is>
          <t>B, на гостя</t>
        </is>
      </c>
      <c r="F14" s="4" t="inlineStr">
        <is>
          <t>Что уточнить</t>
        </is>
      </c>
    </row>
    <row r="15">
      <c r="A15" s="11" t="inlineStr">
        <is>
          <t>Фрахт судна</t>
        </is>
      </c>
      <c r="B15" s="12">
        <f>$B$9</f>
        <v/>
      </c>
      <c r="C15" s="2" t="inlineStr">
        <is>
          <t>за день</t>
        </is>
      </c>
      <c r="D15" s="12">
        <f>$B$9*$B$7/$B$6</f>
        <v/>
      </c>
      <c r="E15" s="12">
        <f>$B$9*$B$8/$B$6</f>
        <v/>
      </c>
      <c r="F15" s="8" t="inlineStr">
        <is>
          <t>ПРОВЕРИТЬ: «в день» — за ночь фрахта или за календарный день</t>
        </is>
      </c>
    </row>
    <row r="16">
      <c r="A16" s="11" t="inlineStr">
        <is>
          <t>Филе: визит и показ</t>
        </is>
      </c>
      <c r="B16" s="6" t="n">
        <v>15000</v>
      </c>
      <c r="C16" s="2" t="inlineStr">
        <is>
          <t>EUR за группу</t>
        </is>
      </c>
      <c r="D16" s="12">
        <f>B16*$B$10/$B$6</f>
        <v/>
      </c>
      <c r="E16" s="12">
        <f>B16*$B$10/$B$6</f>
        <v/>
      </c>
      <c r="F16" s="7" t="inlineStr">
        <is>
          <t>Договор в евро. Входит ли лодка от Шеллала</t>
        </is>
      </c>
    </row>
    <row r="17">
      <c r="A17" s="11" t="inlineStr">
        <is>
          <t>Ужин на острове Филе</t>
        </is>
      </c>
      <c r="B17" s="6" t="n">
        <v>150</v>
      </c>
      <c r="C17" s="2" t="inlineStr">
        <is>
          <t>на гостя</t>
        </is>
      </c>
      <c r="D17" s="12">
        <f>B17</f>
        <v/>
      </c>
      <c r="E17" s="12">
        <f>B17</f>
        <v/>
      </c>
      <c r="F17" s="7" t="inlineStr">
        <is>
          <t>Названо клиентом. Сверх 15 000 EUR за приватный вечер</t>
        </is>
      </c>
    </row>
    <row r="18">
      <c r="A18" s="11" t="inlineStr">
        <is>
          <t>Завтрак в Khufu’s</t>
        </is>
      </c>
      <c r="B18" s="6" t="n">
        <v>90</v>
      </c>
      <c r="C18" s="2" t="inlineStr">
        <is>
          <t>на гостя</t>
        </is>
      </c>
      <c r="D18" s="12">
        <f>B18</f>
        <v/>
      </c>
      <c r="E18" s="12">
        <f>B18</f>
        <v/>
      </c>
      <c r="F18" s="7" t="inlineStr">
        <is>
          <t>Названо клиентом</t>
        </is>
      </c>
    </row>
    <row r="19">
      <c r="A19" s="11" t="inlineStr">
        <is>
          <t>Большой Египетский музей</t>
        </is>
      </c>
      <c r="B19" s="6" t="n">
        <v>120</v>
      </c>
      <c r="C19" s="2" t="inlineStr">
        <is>
          <t>на гостя</t>
        </is>
      </c>
      <c r="D19" s="12">
        <f>B19</f>
        <v/>
      </c>
      <c r="E19" s="12">
        <f>B19</f>
        <v/>
      </c>
      <c r="F19" s="7" t="inlineStr">
        <is>
          <t>Индивидуальная экскурсия с трансфером. Названо клиентом</t>
        </is>
      </c>
    </row>
    <row r="20">
      <c r="A20" s="11" t="inlineStr">
        <is>
          <t>Гиза: приватный доступ, одно посещение</t>
        </is>
      </c>
      <c r="B20" s="6" t="n">
        <v>3500</v>
      </c>
      <c r="C20" s="2" t="inlineStr">
        <is>
          <t>за посещение</t>
        </is>
      </c>
      <c r="D20" s="12">
        <f>B20*2/$B$6</f>
        <v/>
      </c>
      <c r="E20" s="12">
        <f>B20*2/$B$6</f>
        <v/>
      </c>
      <c r="F20" s="7" t="inlineStr">
        <is>
          <t>ПОДТВЕРЖДЕНО: приватное открытие для группы. Билеты НЕ входят, см. строку ниже</t>
        </is>
      </c>
    </row>
    <row r="21">
      <c r="A21" s="11" t="inlineStr">
        <is>
          <t>Входной билет на плато Гизы</t>
        </is>
      </c>
      <c r="B21" s="6" t="n">
        <v>180</v>
      </c>
      <c r="C21" s="2" t="inlineStr">
        <is>
          <t>за билет</t>
        </is>
      </c>
      <c r="D21" s="12">
        <f>B21*2</f>
        <v/>
      </c>
      <c r="E21" s="12">
        <f>B21*2</f>
        <v/>
      </c>
      <c r="F21" s="8" t="inlineStr">
        <is>
          <t>180 за билет. ПРОВЕРИТЬ: один билет на оба посещения или два</t>
        </is>
      </c>
    </row>
    <row r="22">
      <c r="A22" s="11" t="inlineStr">
        <is>
          <t>Абу-Симбел самолётом</t>
        </is>
      </c>
      <c r="B22" s="6" t="n">
        <v>470</v>
      </c>
      <c r="C22" s="2" t="inlineStr">
        <is>
          <t>на гостя</t>
        </is>
      </c>
      <c r="D22" s="12">
        <f>B22</f>
        <v/>
      </c>
      <c r="E22" s="12">
        <f>B22</f>
        <v/>
      </c>
      <c r="F22" s="7" t="inlineStr">
        <is>
          <t>Обязательная часть для всех. Альтернатива по земле — см. лист «Абу-Симбел»</t>
        </is>
      </c>
    </row>
    <row r="23">
      <c r="A23" s="11" t="inlineStr">
        <is>
          <t>Giza Palace, ночь</t>
        </is>
      </c>
      <c r="B23" s="6" t="n">
        <v>325</v>
      </c>
      <c r="C23" s="2" t="inlineStr">
        <is>
          <t>за номер за ночь</t>
        </is>
      </c>
      <c r="D23" s="12">
        <f>B23*2</f>
        <v/>
      </c>
      <c r="E23" s="12">
        <f>B23*2</f>
        <v/>
      </c>
      <c r="F23" s="7" t="inlineStr">
        <is>
          <t>Две ночи. Открытые источники 222–349. Запросить групповой тариф</t>
        </is>
      </c>
    </row>
    <row r="24">
      <c r="A24" s="11" t="inlineStr">
        <is>
          <t>Steigenberger Nile Palace, ночь</t>
        </is>
      </c>
      <c r="B24" s="6" t="n">
        <v>170</v>
      </c>
      <c r="C24" s="2" t="inlineStr">
        <is>
          <t>за номер за ночь</t>
        </is>
      </c>
      <c r="D24" s="12">
        <f>B24</f>
        <v/>
      </c>
      <c r="E24" s="12">
        <f>B24</f>
        <v/>
      </c>
      <c r="F24" s="7" t="inlineStr">
        <is>
          <t>Открытые источники 120–176. Запросить групповой тариф</t>
        </is>
      </c>
    </row>
    <row r="25">
      <c r="A25" s="11" t="inlineStr">
        <is>
          <t>Отель 29 января: Асуан (A) / Four Seasons 30-го (B)</t>
        </is>
      </c>
      <c r="B25" s="6" t="n">
        <v>250</v>
      </c>
      <c r="C25" s="2" t="inlineStr">
        <is>
          <t>на гостя</t>
        </is>
      </c>
      <c r="D25" s="12">
        <f>B25</f>
        <v/>
      </c>
      <c r="E25" s="12">
        <f>570</f>
        <v/>
      </c>
      <c r="F25" s="7" t="inlineStr">
        <is>
          <t>A: остров Элефантина, открытые источники 140–330. B: Four Seasons, 570 названо отелем</t>
        </is>
      </c>
    </row>
    <row r="26">
      <c r="A26" s="11" t="inlineStr">
        <is>
          <t>Прощальный ужин в Four Seasons</t>
        </is>
      </c>
      <c r="B26" s="6" t="n">
        <v>250</v>
      </c>
      <c r="C26" s="2" t="inlineStr">
        <is>
          <t>на гостя</t>
        </is>
      </c>
      <c r="D26" s="12">
        <f>B26</f>
        <v/>
      </c>
      <c r="E26" s="12">
        <f>0</f>
        <v/>
      </c>
      <c r="F26" s="7" t="inlineStr">
        <is>
          <t>Net или ++? С надбавками 319. Только вариант A</t>
        </is>
      </c>
    </row>
    <row r="27">
      <c r="A27" s="11" t="inlineStr">
        <is>
          <t>Ужин в Lucida</t>
        </is>
      </c>
      <c r="B27" s="6" t="n">
        <v>150</v>
      </c>
      <c r="C27" s="2" t="inlineStr">
        <is>
          <t>на гостя</t>
        </is>
      </c>
      <c r="D27" s="12">
        <f>B27</f>
        <v/>
      </c>
      <c r="E27" s="12">
        <f>B27</f>
        <v/>
      </c>
      <c r="F27" s="7" t="inlineStr">
        <is>
          <t>ПОДТВЕРЖДЕНО: 150 без алкоголя</t>
        </is>
      </c>
    </row>
    <row r="28">
      <c r="A28" s="11" t="inlineStr">
        <is>
          <t>Питание в отелях вне названных ресторанов</t>
        </is>
      </c>
      <c r="B28" s="6" t="n">
        <v>200</v>
      </c>
      <c r="C28" s="2" t="inlineStr">
        <is>
          <t>на гостя</t>
        </is>
      </c>
      <c r="D28" s="12">
        <f>B28</f>
        <v/>
      </c>
      <c r="E28" s="12">
        <f>B28</f>
        <v/>
      </c>
      <c r="F28" s="7" t="inlineStr">
        <is>
          <t>Наша оценка на всю поездку: ужин 40–60, обед 25–35</t>
        </is>
      </c>
    </row>
    <row r="29">
      <c r="A29" s="11" t="inlineStr">
        <is>
          <t>Полёт на шаре, две корзины</t>
        </is>
      </c>
      <c r="B29" s="6" t="n">
        <v>5000</v>
      </c>
      <c r="C29" s="2" t="inlineStr">
        <is>
          <t>за все корзины</t>
        </is>
      </c>
      <c r="D29" s="12">
        <f>B29/$B$6</f>
        <v/>
      </c>
      <c r="E29" s="12">
        <f>B29/$B$6</f>
        <v/>
      </c>
      <c r="F29" s="7" t="inlineStr">
        <is>
          <t>ПОДТВЕРЖДЕНО: две корзины, по 8 человек</t>
        </is>
      </c>
    </row>
    <row r="30">
      <c r="A30" s="11" t="inlineStr">
        <is>
          <t>Нубийский ансамбль</t>
        </is>
      </c>
      <c r="B30" s="6" t="n">
        <v>650</v>
      </c>
      <c r="C30" s="2" t="inlineStr">
        <is>
          <t>за вечер</t>
        </is>
      </c>
      <c r="D30" s="12">
        <f>B30/$B$6</f>
        <v/>
      </c>
      <c r="E30" s="12">
        <f>B30/$B$6</f>
        <v/>
      </c>
      <c r="F30" s="7" t="inlineStr">
        <is>
          <t>Наша оценка 400–900. Публичных прайсов нет</t>
        </is>
      </c>
    </row>
    <row r="31">
      <c r="A31" s="11" t="inlineStr">
        <is>
          <t>Гала-ужин на борту, вариант B</t>
        </is>
      </c>
      <c r="B31" s="6" t="n">
        <v>0</v>
      </c>
      <c r="C31" s="2" t="inlineStr">
        <is>
          <t>за группу</t>
        </is>
      </c>
      <c r="D31" s="12">
        <f>0</f>
        <v/>
      </c>
      <c r="E31" s="12">
        <f>B31/$B$6</f>
        <v/>
      </c>
      <c r="F31" s="8" t="inlineStr">
        <is>
          <t>ЦЕНЫ НЕТ. Меню, декор, музыка сверх пансиона</t>
        </is>
      </c>
    </row>
    <row r="32">
      <c r="A32" s="11" t="inlineStr">
        <is>
          <t>Наземная программа 22–25 января</t>
        </is>
      </c>
      <c r="B32" s="6" t="n">
        <v>0</v>
      </c>
      <c r="C32" s="2" t="inlineStr">
        <is>
          <t>за группу</t>
        </is>
      </c>
      <c r="D32" s="12">
        <f>B32/$B$6</f>
        <v/>
      </c>
      <c r="E32" s="12">
        <f>B32/$B$6</f>
        <v/>
      </c>
      <c r="F32" s="8" t="inlineStr">
        <is>
          <t>ЦЕНЫ НЕТ. Гид, транспорт, билеты, GEM. Крупнейшая дыра в смете</t>
        </is>
      </c>
    </row>
    <row r="33">
      <c r="A33" s="11" t="inlineStr">
        <is>
          <t>Перелёты Каир–Луксор и Асуан–Каир</t>
        </is>
      </c>
      <c r="B33" s="6" t="n">
        <v>250</v>
      </c>
      <c r="C33" s="2" t="inlineStr">
        <is>
          <t>на гостя</t>
        </is>
      </c>
      <c r="D33" s="12">
        <f>B33</f>
        <v/>
      </c>
      <c r="E33" s="12">
        <f>B33</f>
        <v/>
      </c>
      <c r="F33" s="7" t="inlineStr">
        <is>
          <t>ОЦЕНКА по открытым источникам: 140 + 110. Групповой тариф запрошен</t>
        </is>
      </c>
    </row>
    <row r="34">
      <c r="A34" s="11" t="inlineStr">
        <is>
          <t>Прочее: meet &amp; greet, fast track</t>
        </is>
      </c>
      <c r="B34" s="6" t="n">
        <v>0</v>
      </c>
      <c r="C34" s="2" t="inlineStr">
        <is>
          <t>на гостя</t>
        </is>
      </c>
      <c r="D34" s="12">
        <f>B34</f>
        <v/>
      </c>
      <c r="E34" s="12">
        <f>B34</f>
        <v/>
      </c>
      <c r="F34" s="8" t="inlineStr">
        <is>
          <t>ЦЕНЫ НЕТ</t>
        </is>
      </c>
    </row>
    <row r="35">
      <c r="A35" s="11" t="inlineStr">
        <is>
          <t>Резерв на решения на месте</t>
        </is>
      </c>
      <c r="B35" s="6" t="n">
        <v>0</v>
      </c>
      <c r="C35" s="2" t="inlineStr">
        <is>
          <t>на гостя</t>
        </is>
      </c>
      <c r="D35" s="12">
        <f>B35</f>
        <v/>
      </c>
      <c r="E35" s="12">
        <f>B35</f>
        <v/>
      </c>
      <c r="F35" s="7" t="inlineStr">
        <is>
          <t>НЕ ЗАЛОЖЕН. Обычно 2–3 % от сметы. Ваше решение</t>
        </is>
      </c>
    </row>
    <row r="36">
      <c r="A36" s="11" t="inlineStr">
        <is>
          <t>ПРОПУЩЕННЫЕ СТАТЬИ — итог с листа «Пропущено»</t>
        </is>
      </c>
      <c r="B36" s="12">
        <f>Пропущено!$B$19</f>
        <v/>
      </c>
      <c r="C36" s="2" t="inlineStr">
        <is>
          <t>за группу</t>
        </is>
      </c>
      <c r="D36" s="12">
        <f>B36/$B$6</f>
        <v/>
      </c>
      <c r="E36" s="12">
        <f>B36/$B$6</f>
        <v/>
      </c>
      <c r="F36" s="7" t="inlineStr">
        <is>
          <t>Двенадцать позиций, найденных при сверке. Пока нули</t>
        </is>
      </c>
    </row>
    <row r="37">
      <c r="A37" s="11" t="inlineStr">
        <is>
          <t>КОМАНДА LA ROYAL</t>
        </is>
      </c>
      <c r="B37" s="12">
        <f>Команда!$B$22</f>
        <v/>
      </c>
      <c r="C37" s="2" t="inlineStr">
        <is>
          <t>за группу</t>
        </is>
      </c>
      <c r="D37" s="12">
        <f>B37*Команда!$B$24/$B$6</f>
        <v/>
      </c>
      <c r="E37" s="12">
        <f>B37*Команда!$B$24/$B$6</f>
        <v/>
      </c>
      <c r="F37" s="7" t="inlineStr">
        <is>
          <t>Переключатель «в себестоимость / из вознаграждения» — на листе «Команда»</t>
        </is>
      </c>
    </row>
    <row r="38">
      <c r="A38" s="5" t="inlineStr">
        <is>
          <t>СЕБЕСТОИМОСТЬ НА ГОСТЯ</t>
        </is>
      </c>
      <c r="D38" s="13">
        <f>SUM(D15:D37)</f>
        <v/>
      </c>
      <c r="E38" s="13">
        <f>SUM(E15:E37)</f>
        <v/>
      </c>
    </row>
    <row r="39">
      <c r="A39" s="5" t="inlineStr">
        <is>
          <t>Вознаграждение La Royal</t>
        </is>
      </c>
      <c r="D39" s="12">
        <f>D38*$B$11</f>
        <v/>
      </c>
      <c r="E39" s="12">
        <f>E38*$B$11</f>
        <v/>
      </c>
    </row>
    <row r="40">
      <c r="A40" s="14" t="inlineStr">
        <is>
          <t>ЦЕНА ДЛЯ ГОСТЯ</t>
        </is>
      </c>
      <c r="D40" s="15">
        <f>D38+D39</f>
        <v/>
      </c>
      <c r="E40" s="15">
        <f>E38+E39</f>
        <v/>
      </c>
    </row>
    <row r="41">
      <c r="A41" s="2" t="inlineStr">
        <is>
          <t>Вознаграждение со всей группы</t>
        </is>
      </c>
      <c r="D41" s="16">
        <f>D39*$B$6-Команда!$B$22*(1-Команда!$B$24)</f>
        <v/>
      </c>
      <c r="E41" s="16">
        <f>E39*$B$6-Команда!$B$22*(1-Команда!$B$24)</f>
        <v/>
      </c>
      <c r="F41" s="2" t="inlineStr">
        <is>
          <t>Если команда идёт из вознаграждения, её расходы вычитаются здесь</t>
        </is>
      </c>
    </row>
    <row r="42">
      <c r="A42" s="2" t="inlineStr">
        <is>
          <t>Если 15 % считать долей в цене, а не наценкой</t>
        </is>
      </c>
      <c r="D42" s="17">
        <f>D38/(1-$B$11)</f>
        <v/>
      </c>
      <c r="E42" s="17">
        <f>E38/(1-$B$11)</f>
        <v/>
      </c>
    </row>
    <row r="43">
      <c r="A43" s="2" t="inlineStr">
        <is>
          <t>Разница между двумя трактовками, на гостя</t>
        </is>
      </c>
      <c r="D43" s="17">
        <f>D42-D40</f>
        <v/>
      </c>
      <c r="E43" s="17">
        <f>E42-E40</f>
        <v/>
      </c>
    </row>
    <row r="45">
      <c r="A45" s="18" t="inlineStr">
        <is>
          <t>Пока в столбце «Что уточнить» есть розовые строки, итог занижен и клиенту не называется.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6" customWidth="1" min="3" max="3"/>
    <col width="56" customWidth="1" min="4" max="4"/>
  </cols>
  <sheetData>
    <row r="1">
      <c r="A1" s="19" t="inlineStr">
        <is>
          <t>КОМАНДА LA ROYAL: СВОИ РАСХОДЫ</t>
        </is>
      </c>
    </row>
    <row r="2">
      <c r="A2" s="2" t="inlineStr">
        <is>
          <t>Четыре-пять человек сопровождают группу всю поездку. На судне живут без доплаты: борт зафрахтован целиком. В Каире размещаются сами. На выезды идут не в полном составе.</t>
        </is>
      </c>
    </row>
    <row r="4">
      <c r="A4" s="4" t="inlineStr">
        <is>
          <t>Параметр</t>
        </is>
      </c>
      <c r="B4" s="4" t="inlineStr">
        <is>
          <t>Значение</t>
        </is>
      </c>
      <c r="C4" s="4" t="inlineStr"/>
      <c r="D4" s="4" t="inlineStr">
        <is>
          <t>Комментарий</t>
        </is>
      </c>
    </row>
    <row r="5">
      <c r="A5" s="5" t="inlineStr">
        <is>
          <t>Человек в команде</t>
        </is>
      </c>
      <c r="B5" s="6" t="n">
        <v>4</v>
      </c>
      <c r="D5" s="7" t="inlineStr">
        <is>
          <t>Всего в поездке</t>
        </is>
      </c>
    </row>
    <row r="6">
      <c r="A6" s="5" t="inlineStr">
        <is>
          <t>Человек в номере</t>
        </is>
      </c>
      <c r="B6" s="6" t="n">
        <v>2</v>
      </c>
      <c r="D6" s="7" t="inlineStr">
        <is>
          <t>2 = по двое. 1 = одноместно, дороже</t>
        </is>
      </c>
    </row>
    <row r="7">
      <c r="A7" s="5" t="inlineStr">
        <is>
          <t>Едет на выезды</t>
        </is>
      </c>
      <c r="B7" s="6" t="n">
        <v>2</v>
      </c>
      <c r="D7" s="7" t="inlineStr">
        <is>
          <t>Абу-Симбел и рестораны — не весь состав</t>
        </is>
      </c>
    </row>
    <row r="8">
      <c r="A8" s="5" t="inlineStr">
        <is>
          <t>Отель в Каире, за номер</t>
        </is>
      </c>
      <c r="B8" s="6" t="n">
        <v>90</v>
      </c>
      <c r="D8" s="7" t="inlineStr">
        <is>
          <t>Свой отель, не Giza Palace</t>
        </is>
      </c>
    </row>
    <row r="9">
      <c r="A9" s="5" t="inlineStr">
        <is>
          <t>Отель в Луксоре, за номер</t>
        </is>
      </c>
      <c r="B9" s="6" t="n">
        <v>170</v>
      </c>
      <c r="D9" s="7" t="inlineStr">
        <is>
          <t>С группой</t>
        </is>
      </c>
    </row>
    <row r="10">
      <c r="A10" s="5" t="inlineStr">
        <is>
          <t>Отель 29-го, за номер</t>
        </is>
      </c>
      <c r="B10" s="6" t="n">
        <v>570</v>
      </c>
      <c r="D10" s="7" t="inlineStr">
        <is>
          <t>570 = Four Seasons (B). Для варианта A ставим 250</t>
        </is>
      </c>
    </row>
    <row r="11">
      <c r="A11" s="5" t="inlineStr">
        <is>
          <t>Питание на берегу, на чел</t>
        </is>
      </c>
      <c r="B11" s="6" t="n">
        <v>120</v>
      </c>
      <c r="D11" s="7" t="inlineStr">
        <is>
          <t>За всю поездку. На борту бесплатно</t>
        </is>
      </c>
    </row>
    <row r="13">
      <c r="A13" s="4" t="inlineStr">
        <is>
          <t>Статья</t>
        </is>
      </c>
      <c r="B13" s="4" t="inlineStr">
        <is>
          <t>USD</t>
        </is>
      </c>
      <c r="C13" s="4" t="inlineStr"/>
      <c r="D13" s="4" t="inlineStr">
        <is>
          <t>Как считается</t>
        </is>
      </c>
    </row>
    <row r="14">
      <c r="A14" s="11" t="inlineStr">
        <is>
          <t>Судно</t>
        </is>
      </c>
      <c r="B14" s="12">
        <f>0</f>
        <v/>
      </c>
      <c r="D14" s="7" t="inlineStr">
        <is>
          <t>Борт зафрахтован целиком — команда на борту без доплаты</t>
        </is>
      </c>
    </row>
    <row r="15">
      <c r="A15" s="11" t="inlineStr">
        <is>
          <t>Каир, свой отель, 2 ночи</t>
        </is>
      </c>
      <c r="B15" s="12">
        <f>ROUNDUP($B$5/$B$6,0)*2*$B$8</f>
        <v/>
      </c>
      <c r="D15" s="7" t="inlineStr">
        <is>
          <t>Номеров × 2 ночи × цена</t>
        </is>
      </c>
    </row>
    <row r="16">
      <c r="A16" s="11" t="inlineStr">
        <is>
          <t>Луксор, 1 ночь</t>
        </is>
      </c>
      <c r="B16" s="12">
        <f>ROUNDUP($B$5/$B$6,0)*$B$9</f>
        <v/>
      </c>
      <c r="D16" s="7" t="inlineStr">
        <is>
          <t>Номеров × цена</t>
        </is>
      </c>
    </row>
    <row r="17">
      <c r="A17" s="11" t="inlineStr">
        <is>
          <t>Отель 29-го: Асуан 250 (A) или FS 570 (B)</t>
        </is>
      </c>
      <c r="B17" s="12">
        <f>ROUNDUP($B$5/$B$6,0)*$B$10</f>
        <v/>
      </c>
      <c r="D17" s="7" t="inlineStr">
        <is>
          <t>Номеров × цена. Для A поставить 250</t>
        </is>
      </c>
    </row>
    <row r="18">
      <c r="A18" s="11" t="inlineStr">
        <is>
          <t>Абу-Симбел самолётом</t>
        </is>
      </c>
      <c r="B18" s="12">
        <f>$B$7*470</f>
        <v/>
      </c>
      <c r="D18" s="7" t="inlineStr">
        <is>
          <t>Летят не все</t>
        </is>
      </c>
    </row>
    <row r="19">
      <c r="A19" s="11" t="inlineStr">
        <is>
          <t>Ужины вне борта: Lucida, Филе, Khufu, прощальный</t>
        </is>
      </c>
      <c r="B19" s="12">
        <f>$B$7*760+$B$7*360</f>
        <v/>
      </c>
      <c r="D19" s="7" t="inlineStr">
        <is>
          <t>рестораны 760 + билеты в Гизу 360</t>
        </is>
      </c>
    </row>
    <row r="20">
      <c r="A20" s="11" t="inlineStr">
        <is>
          <t>Питание на берегу</t>
        </is>
      </c>
      <c r="B20" s="12">
        <f>$B$5*$B$11</f>
        <v/>
      </c>
      <c r="D20" s="7" t="inlineStr">
        <is>
          <t>Весь состав</t>
        </is>
      </c>
    </row>
    <row r="21">
      <c r="A21" s="11" t="inlineStr">
        <is>
          <t>Внутренние перелёты команды</t>
        </is>
      </c>
      <c r="B21" s="12">
        <f>$B$5*250</f>
        <v/>
      </c>
      <c r="D21" s="7" t="inlineStr">
        <is>
          <t>Те же 250 на человека</t>
        </is>
      </c>
    </row>
    <row r="22">
      <c r="A22" s="5" t="inlineStr">
        <is>
          <t>ИТОГО РАСХОДЫ КОМАНДЫ</t>
        </is>
      </c>
      <c r="B22" s="13">
        <f>SUM(B14:B21)</f>
        <v/>
      </c>
    </row>
    <row r="23">
      <c r="A23" s="5" t="inlineStr">
        <is>
          <t>На одного гостя</t>
        </is>
      </c>
      <c r="B23" s="16">
        <f>B22/Калькулятор!$B$6</f>
        <v/>
      </c>
    </row>
    <row r="24">
      <c r="A24" s="20" t="inlineStr">
        <is>
          <t>ПЕРЕКЛЮЧАТЕЛЬ: 1 = в себестоимость, 0 = из вознаграждения</t>
        </is>
      </c>
      <c r="B24" s="21" t="n">
        <v>1</v>
      </c>
      <c r="D24" s="7" t="inlineStr">
        <is>
          <t>1 — клиент платит за сопровождение, не видя отдельной строки. 0 — содержим команду из своей комиссии.</t>
        </is>
      </c>
    </row>
    <row r="26">
      <c r="A26" s="22" t="inlineStr">
        <is>
          <t>Рекомендация: 1. Сопровождение собственной командой — услуга, которая отличает вас от агентства с пакетом. Услуги входят в цену.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58" customWidth="1" min="2" max="2"/>
    <col width="26" customWidth="1" min="3" max="3"/>
    <col width="46" customWidth="1" min="4" max="4"/>
  </cols>
  <sheetData>
    <row r="1">
      <c r="A1" s="19" t="inlineStr">
        <is>
          <t>ШЕСТЬ ВОПРОСОВ, БЕЗ КОТОРЫХ СЧИТАТЬ НЕЛЬЗЯ</t>
        </is>
      </c>
    </row>
    <row r="3">
      <c r="A3" s="4" t="inlineStr">
        <is>
          <t>№</t>
        </is>
      </c>
      <c r="B3" s="4" t="inlineStr">
        <is>
          <t>Вопрос</t>
        </is>
      </c>
      <c r="C3" s="4" t="inlineStr">
        <is>
          <t>Кому</t>
        </is>
      </c>
      <c r="D3" s="4" t="inlineStr">
        <is>
          <t>Сколько за этим стоит</t>
        </is>
      </c>
    </row>
    <row r="4" ht="42" customHeight="1">
      <c r="A4" s="5" t="n">
        <v>1</v>
      </c>
      <c r="B4" s="11" t="inlineStr">
        <is>
          <t>«54 500 в день» — за ночь фрахта или за календарный день? Считается ли утро высадки оплачиваемым днём?</t>
        </is>
      </c>
      <c r="C4" s="11" t="inlineStr">
        <is>
          <t>Судовой оператор</t>
        </is>
      </c>
      <c r="D4" s="23" t="inlineStr">
        <is>
          <t>54 500, то есть 3 406 на гостя</t>
        </is>
      </c>
    </row>
    <row r="5" ht="42" customHeight="1">
      <c r="A5" s="5" t="n">
        <v>2</v>
      </c>
      <c r="B5" s="11" t="inlineStr">
        <is>
          <t>Наземная программа 22–25 января: гид, транспорт, билеты, GEM</t>
        </is>
      </c>
      <c r="C5" s="11" t="inlineStr">
        <is>
          <t>Принимающая компания</t>
        </is>
      </c>
      <c r="D5" s="23" t="inlineStr">
        <is>
          <t>Позиции в смете нет вообще</t>
        </is>
      </c>
    </row>
    <row r="6" ht="42" customHeight="1">
      <c r="A6" s="5" t="n">
        <v>3</v>
      </c>
      <c r="B6" s="11" t="inlineStr">
        <is>
          <t>Групповой тариф: Каир — Луксор и Асуан — Каир</t>
        </is>
      </c>
      <c r="C6" s="11" t="inlineStr">
        <is>
          <t>Билетный агент / EgyptAir</t>
        </is>
      </c>
      <c r="D6" s="23" t="inlineStr">
        <is>
          <t>Два рейса на всю группу</t>
        </is>
      </c>
    </row>
    <row r="7" ht="42" customHeight="1">
      <c r="A7" s="5" t="n">
        <v>4</v>
      </c>
      <c r="B7" s="11" t="inlineStr">
        <is>
          <t>Прощальный ужин в Four Seasons: 250 — net или ++? Минимальный счёт за приватную зону?</t>
        </is>
      </c>
      <c r="C7" s="11" t="inlineStr">
        <is>
          <t>Four Seasons</t>
        </is>
      </c>
      <c r="D7" s="23" t="inlineStr">
        <is>
          <t>Около 1 100 на группу</t>
        </is>
      </c>
    </row>
    <row r="8" ht="42" customHeight="1">
      <c r="A8" s="5" t="n">
        <v>5</v>
      </c>
      <c r="B8" s="11" t="inlineStr">
        <is>
          <t>Филе: фиксируем курс? Входит ли лодка от Шеллала? Цена ужина на острове?</t>
        </is>
      </c>
      <c r="C8" s="11" t="inlineStr">
        <is>
          <t>Мара, Egypt &amp; Africa Travel</t>
        </is>
      </c>
      <c r="D8" s="23" t="inlineStr">
        <is>
          <t>Разброс 1 100 плюс неизвестная</t>
        </is>
      </c>
    </row>
    <row r="9" ht="42" customHeight="1">
      <c r="A9" s="5" t="n">
        <v>6</v>
      </c>
      <c r="B9" s="11" t="inlineStr">
        <is>
          <t>Групповой блок номеров на январь: Giza Palace и Steigenberger</t>
        </is>
      </c>
      <c r="C9" s="11" t="inlineStr">
        <is>
          <t>Отделы продаж отелей</t>
        </is>
      </c>
      <c r="D9" s="23" t="inlineStr">
        <is>
          <t>Наши 325 и 170 — из интернета, ±30 %. Письма готовы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52" customWidth="1" min="4" max="4"/>
  </cols>
  <sheetData>
    <row r="1">
      <c r="A1" s="19" t="inlineStr">
        <is>
          <t>АБУ-СИМБЕЛ: САМОЛЁТОМ ИЛИ ПО ЗЕМЛЕ</t>
        </is>
      </c>
    </row>
    <row r="2">
      <c r="A2" s="2" t="inlineStr">
        <is>
          <t>Берём обязательной частью для всех. Здесь считается, во что обходится каждый способ и сколько экономит дорога.</t>
        </is>
      </c>
    </row>
    <row r="4">
      <c r="A4" s="4" t="inlineStr">
        <is>
          <t>Строка</t>
        </is>
      </c>
      <c r="B4" s="4" t="inlineStr">
        <is>
          <t>Самолётом</t>
        </is>
      </c>
      <c r="C4" s="4" t="inlineStr">
        <is>
          <t>По земле</t>
        </is>
      </c>
      <c r="D4" s="4" t="inlineStr">
        <is>
          <t>Комментарий</t>
        </is>
      </c>
    </row>
    <row r="5">
      <c r="A5" s="11" t="inlineStr">
        <is>
          <t>Стоимость перелёта, на человека</t>
        </is>
      </c>
      <c r="B5" s="6" t="n">
        <v>470</v>
      </c>
      <c r="C5" s="6" t="n">
        <v>0</v>
      </c>
      <c r="D5" s="7" t="inlineStr">
        <is>
          <t>470 названо поставщиком</t>
        </is>
      </c>
    </row>
    <row r="6">
      <c r="A6" s="11" t="inlineStr">
        <is>
          <t>Автобус с гидом на день, за машину</t>
        </is>
      </c>
      <c r="B6" s="6" t="n">
        <v>0</v>
      </c>
      <c r="C6" s="6" t="n">
        <v>600</v>
      </c>
      <c r="D6" s="8" t="inlineStr">
        <is>
          <t>ОЦЕНКА 400–800. Нужен запрос в принимающую компанию</t>
        </is>
      </c>
    </row>
    <row r="7">
      <c r="A7" s="11" t="inlineStr">
        <is>
          <t>Время в дороге в одну сторону</t>
        </is>
      </c>
      <c r="B7" s="24" t="n">
        <v>0.7</v>
      </c>
      <c r="C7" s="24" t="n">
        <v>3.75</v>
      </c>
      <c r="D7" s="7" t="inlineStr">
        <is>
          <t>Часы. 280–290 км по пустынной трассе</t>
        </is>
      </c>
    </row>
    <row r="8">
      <c r="A8" s="11" t="inlineStr">
        <is>
          <t>Весь день занят</t>
        </is>
      </c>
      <c r="B8" s="6" t="n">
        <v>0</v>
      </c>
      <c r="C8" s="6" t="n">
        <v>1</v>
      </c>
      <c r="D8" s="7" t="inlineStr">
        <is>
          <t>1 = да. По земле день уходит целиком</t>
        </is>
      </c>
    </row>
    <row r="10">
      <c r="A10" s="5" t="inlineStr">
        <is>
          <t>На одного гостя</t>
        </is>
      </c>
      <c r="B10" s="12">
        <f>B5</f>
        <v/>
      </c>
      <c r="C10" s="12">
        <f>C6/Калькулятор!$B$6</f>
        <v/>
      </c>
    </row>
    <row r="11">
      <c r="A11" s="5" t="inlineStr">
        <is>
          <t>ЭКОНОМИЯ ДОРОГИ, на гостя</t>
        </is>
      </c>
      <c r="B11" s="25">
        <f>B10-C10</f>
        <v/>
      </c>
    </row>
    <row r="12">
      <c r="A12" s="5" t="inlineStr">
        <is>
          <t>ЭКОНОМИЯ ДОРОГИ, на группу</t>
        </is>
      </c>
      <c r="B12" s="25">
        <f>(B10-C10)*Калькулятор!$B$6</f>
        <v/>
      </c>
    </row>
    <row r="14">
      <c r="A14" s="2" t="inlineStr">
        <is>
          <t>Входные билеты в храмы одинаковы в обоих случаях и сидят в наземной программе.</t>
        </is>
      </c>
    </row>
    <row r="15">
      <c r="A15" s="18" t="inlineStr">
        <is>
          <t>ВНИМАНИЕ: по земле цена ФИКСИРОВАННАЯ за машину. Если делать это опцией, работает та же ловушка, что с шаром: чем меньше едет, тем дороже каждому.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6" customWidth="1" min="3" max="3"/>
    <col width="56" customWidth="1" min="4" max="4"/>
  </cols>
  <sheetData>
    <row r="1">
      <c r="A1" s="19" t="inlineStr">
        <is>
          <t>СТАТЬИ, НАЙДЕННЫЕ ПРИ СВЕРКЕ МАРШРУТА</t>
        </is>
      </c>
    </row>
    <row r="2">
      <c r="A2" s="2" t="inlineStr">
        <is>
          <t>Прошли весь маршрут по дням и сверили с расчётом. Вот чего в нём не было. Заполняйте по мере получения цен — итог сам попадёт в себестоимость.</t>
        </is>
      </c>
    </row>
    <row r="4">
      <c r="A4" s="4" t="inlineStr">
        <is>
          <t>Статья</t>
        </is>
      </c>
      <c r="B4" s="4" t="inlineStr">
        <is>
          <t>USD за группу</t>
        </is>
      </c>
      <c r="C4" s="4" t="inlineStr"/>
      <c r="D4" s="4" t="inlineStr">
        <is>
          <t>Почему это возникает</t>
        </is>
      </c>
    </row>
    <row r="5">
      <c r="A5" s="11" t="inlineStr">
        <is>
          <t>Дневные номера в Асуане 29-го (вариант A)</t>
        </is>
      </c>
      <c r="B5" s="6" t="n">
        <v>0</v>
      </c>
      <c r="D5" s="7" t="inlineStr">
        <is>
          <t>Судно освобождается в 05:15, рейс в Каир днём. Между ними 18 человек с чемоданами и негде ждать</t>
        </is>
      </c>
    </row>
    <row r="6">
      <c r="A6" s="11" t="inlineStr">
        <is>
          <t>Трансферы 29 и 30 января</t>
        </is>
      </c>
      <c r="B6" s="6" t="n">
        <v>0</v>
      </c>
      <c r="D6" s="7" t="inlineStr">
        <is>
          <t>Наземная программа посчитана только на 22–25. Асуан и Каир в конце поездки не покрыты</t>
        </is>
      </c>
    </row>
    <row r="7">
      <c r="A7" s="11" t="inlineStr">
        <is>
          <t>Багажная машина в дни переездов</t>
        </is>
      </c>
      <c r="B7" s="6" t="n">
        <v>0</v>
      </c>
      <c r="D7" s="7" t="inlineStr">
        <is>
          <t>18 гостей — это 20+ чемоданов. В легковые машины они не входят</t>
        </is>
      </c>
    </row>
    <row r="8">
      <c r="A8" s="11" t="inlineStr">
        <is>
          <t>Перевес багажа на внутренних рейсах</t>
        </is>
      </c>
      <c r="B8" s="6" t="n">
        <v>0</v>
      </c>
      <c r="D8" s="7" t="inlineStr">
        <is>
          <t>Норма EgyptAir 23 кг. На девятидневной поездке перевес почти гарантирован</t>
        </is>
      </c>
    </row>
    <row r="9">
      <c r="A9" s="11" t="inlineStr">
        <is>
          <t>Русскоязычный египтолог на речную часть</t>
        </is>
      </c>
      <c r="B9" s="6" t="n">
        <v>0</v>
      </c>
      <c r="D9" s="7" t="inlineStr">
        <is>
          <t>Оператор обещает «гида» — почти наверняка англоязычного. Наш гид 25–29: каюта, питание, гонорар</t>
        </is>
      </c>
    </row>
    <row r="10">
      <c r="A10" s="11" t="inlineStr">
        <is>
          <t>Фелюкка и остров Китченера 28-го</t>
        </is>
      </c>
      <c r="B10" s="6" t="n">
        <v>0</v>
      </c>
      <c r="D10" s="7" t="inlineStr">
        <is>
          <t>Стоит в программе, в судовой пакет не входит</t>
        </is>
      </c>
    </row>
    <row r="11">
      <c r="A11" s="11" t="inlineStr">
        <is>
          <t>Асуан утром 30-го: обелиск, Элефантина, музей</t>
        </is>
      </c>
      <c r="B11" s="6" t="n">
        <v>0</v>
      </c>
      <c r="D11" s="7" t="inlineStr">
        <is>
          <t>Только вариант B. Билеты, гид, транспорт</t>
        </is>
      </c>
    </row>
    <row r="12">
      <c r="A12" s="11" t="inlineStr">
        <is>
          <t>Абу-Симбел: входные билеты и автобус на месте</t>
        </is>
      </c>
      <c r="B12" s="6" t="n">
        <v>0</v>
      </c>
      <c r="D12" s="7" t="inlineStr">
        <is>
          <t>470 — это только перелёт</t>
        </is>
      </c>
    </row>
    <row r="13">
      <c r="A13" s="11" t="inlineStr">
        <is>
          <t>Банковские комиссии и конвертация</t>
        </is>
      </c>
      <c r="B13" s="6" t="n">
        <v>0</v>
      </c>
      <c r="D13" s="7" t="inlineStr">
        <is>
          <t>Платежи в EUR и USD. Обычно 1–3 % от оборота</t>
        </is>
      </c>
    </row>
    <row r="14">
      <c r="A14" s="11" t="inlineStr">
        <is>
          <t>Подарки и welcome-набор в номера</t>
        </is>
      </c>
      <c r="B14" s="6" t="n">
        <v>0</v>
      </c>
      <c r="D14" s="7" t="inlineStr">
        <is>
          <t>Для поездки такого уровня ожидаемо гостями</t>
        </is>
      </c>
    </row>
    <row r="15">
      <c r="A15" s="11" t="inlineStr">
        <is>
          <t>Чаевые береговой части</t>
        </is>
      </c>
      <c r="B15" s="6" t="n">
        <v>0</v>
      </c>
      <c r="D15" s="7" t="inlineStr">
        <is>
          <t>Во фрахт входят чаевые ЭКИПАЖУ. Водители, гиды, носильщики и лодочники на берегу — отдельно</t>
        </is>
      </c>
    </row>
    <row r="16">
      <c r="A16" s="11" t="inlineStr">
        <is>
          <t>Фото- и видеосъёмка поездки</t>
        </is>
      </c>
      <c r="B16" s="6" t="n">
        <v>0</v>
      </c>
      <c r="D16" s="7" t="inlineStr">
        <is>
          <t>Если нужна. Не обсуждалось</t>
        </is>
      </c>
    </row>
    <row r="19">
      <c r="A19" s="5" t="inlineStr">
        <is>
          <t>ИТОГО ПРОПУЩЕНО</t>
        </is>
      </c>
      <c r="B19" s="13">
        <f>SUM(B5:B16)</f>
        <v/>
      </c>
    </row>
    <row r="20">
      <c r="A20" s="5" t="inlineStr">
        <is>
          <t>На одного гостя</t>
        </is>
      </c>
      <c r="B20" s="16">
        <f>B19/Калькулятор!$B$6</f>
        <v/>
      </c>
    </row>
    <row r="22">
      <c r="A22" s="26" t="inlineStr">
        <is>
          <t>Отдельно от этого списка остаются семь крупных позиций на листе «Калькулятор»: наземная программа 22–25, перелёты, ужин на Филе, гала на борту, Khufu's, meet &amp; greet и резерв.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2026-09-21T19:04:20Z</dcterms:created>
  <dcterms:modified xmlns:dcterms="http://purl.org/dc/terms/" xmlns:xsi="http://www.w3.org/2001/XMLSchema-instance" xsi:type="dcterms:W3CDTF">2026-09-21T19:04:20Z</dcterms:modified>
</cp:coreProperties>
</file>