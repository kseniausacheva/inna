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Giza Palace, ночь</t>
        </is>
      </c>
      <c r="B23" s="6" t="n">
        <v>325</v>
      </c>
      <c r="C23" s="2" t="inlineStr">
        <is>
          <t>за номер за ночь</t>
        </is>
      </c>
      <c r="D23" s="12">
        <f>B23*2</f>
        <v/>
      </c>
      <c r="E23" s="12">
        <f>B23*2</f>
        <v/>
      </c>
      <c r="F23" s="7" t="inlineStr">
        <is>
          <t>Две ночи. Открытые источники 222–349. Запросить групповой тариф</t>
        </is>
      </c>
    </row>
    <row r="24">
      <c r="A24" s="11" t="inlineStr">
        <is>
          <t>Steigenberger Nile Palace, ночь</t>
        </is>
      </c>
      <c r="B24" s="6" t="n">
        <v>170</v>
      </c>
      <c r="C24" s="2" t="inlineStr">
        <is>
          <t>за номер за ночь</t>
        </is>
      </c>
      <c r="D24" s="12">
        <f>B24</f>
        <v/>
      </c>
      <c r="E24" s="12">
        <f>B24</f>
        <v/>
      </c>
      <c r="F24" s="7" t="inlineStr">
        <is>
          <t>Открытые источники 120–176. Запросить групповой тариф</t>
        </is>
      </c>
    </row>
    <row r="25">
      <c r="A25" s="11" t="inlineStr">
        <is>
          <t>Отель 29 января: Асуан (A) / Four Seasons 30-го (B)</t>
        </is>
      </c>
      <c r="B25" s="6" t="n">
        <v>250</v>
      </c>
      <c r="C25" s="2" t="inlineStr">
        <is>
          <t>на гостя</t>
        </is>
      </c>
      <c r="D25" s="12">
        <f>B25</f>
        <v/>
      </c>
      <c r="E25" s="12">
        <f>570</f>
        <v/>
      </c>
      <c r="F25" s="7" t="inlineStr">
        <is>
          <t>A: остров Элефантина, открытые источники 140–330. B: Four Seasons, 570 названо отелем</t>
        </is>
      </c>
    </row>
    <row r="26">
      <c r="A26" s="11" t="inlineStr">
        <is>
          <t>Прощальный ужин в Four Seasons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0</f>
        <v/>
      </c>
      <c r="F26" s="7" t="inlineStr">
        <is>
          <t>Net или ++? С надбавками 319. Только вариант A</t>
        </is>
      </c>
    </row>
    <row r="27">
      <c r="A27" s="11" t="inlineStr">
        <is>
          <t>Ужин в Lucida</t>
        </is>
      </c>
      <c r="B27" s="6" t="n">
        <v>150</v>
      </c>
      <c r="C27" s="2" t="inlineStr">
        <is>
          <t>на гостя</t>
        </is>
      </c>
      <c r="D27" s="12">
        <f>B27</f>
        <v/>
      </c>
      <c r="E27" s="12">
        <f>B27</f>
        <v/>
      </c>
      <c r="F27" s="7" t="inlineStr">
        <is>
          <t>ПОДТВЕРЖДЕНО: 150 без алкоголя</t>
        </is>
      </c>
    </row>
    <row r="28">
      <c r="A28" s="11" t="inlineStr">
        <is>
          <t>Питание в отелях вне названных ресторанов</t>
        </is>
      </c>
      <c r="B28" s="6" t="n">
        <v>200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Наша оценка на всю поездку: ужин 40–60, обед 25–35</t>
        </is>
      </c>
    </row>
    <row r="29">
      <c r="A29" s="11" t="inlineStr">
        <is>
          <t>Полёт на шаре, две корзины</t>
        </is>
      </c>
      <c r="B29" s="6" t="n">
        <v>5000</v>
      </c>
      <c r="C29" s="2" t="inlineStr">
        <is>
          <t>за все корзины</t>
        </is>
      </c>
      <c r="D29" s="12">
        <f>B29/$B$6</f>
        <v/>
      </c>
      <c r="E29" s="12">
        <f>B29/$B$6</f>
        <v/>
      </c>
      <c r="F29" s="7" t="inlineStr">
        <is>
          <t>ПОДТВЕРЖДЕНО: две корзины, по 8 человек</t>
        </is>
      </c>
    </row>
    <row r="30">
      <c r="A30" s="11" t="inlineStr">
        <is>
          <t>Нубийский ансамбль</t>
        </is>
      </c>
      <c r="B30" s="6" t="n">
        <v>650</v>
      </c>
      <c r="C30" s="2" t="inlineStr">
        <is>
          <t>за вечер</t>
        </is>
      </c>
      <c r="D30" s="12">
        <f>B30/$B$6</f>
        <v/>
      </c>
      <c r="E30" s="12">
        <f>B30/$B$6</f>
        <v/>
      </c>
      <c r="F30" s="7" t="inlineStr">
        <is>
          <t>Наша оценка 400–900. Публичных прайсов нет</t>
        </is>
      </c>
    </row>
    <row r="31">
      <c r="A31" s="11" t="inlineStr">
        <is>
          <t>Гала-ужин на борту, вариант B</t>
        </is>
      </c>
      <c r="B31" s="6" t="n">
        <v>0</v>
      </c>
      <c r="C31" s="2" t="inlineStr">
        <is>
          <t>за группу</t>
        </is>
      </c>
      <c r="D31" s="12">
        <f>0</f>
        <v/>
      </c>
      <c r="E31" s="12">
        <f>B31/$B$6</f>
        <v/>
      </c>
      <c r="F31" s="8" t="inlineStr">
        <is>
          <t>ЦЕНЫ НЕТ. Меню, декор, музыка сверх пансиона</t>
        </is>
      </c>
    </row>
    <row r="32">
      <c r="A32" s="11" t="inlineStr">
        <is>
          <t>Наземная программа 22–25 января</t>
        </is>
      </c>
      <c r="B32" s="6" t="n">
        <v>0</v>
      </c>
      <c r="C32" s="2" t="inlineStr">
        <is>
          <t>за группу</t>
        </is>
      </c>
      <c r="D32" s="12">
        <f>B32/$B$6</f>
        <v/>
      </c>
      <c r="E32" s="12">
        <f>B32/$B$6</f>
        <v/>
      </c>
      <c r="F32" s="8" t="inlineStr">
        <is>
          <t>ЦЕНЫ НЕТ. Гид, транспорт, билеты, GEM. Крупнейшая дыра в смете</t>
        </is>
      </c>
    </row>
    <row r="33">
      <c r="A33" s="11" t="inlineStr">
        <is>
          <t>Перелёты Каир–Луксор и Асуан–Каир</t>
        </is>
      </c>
      <c r="B33" s="6" t="n">
        <v>250</v>
      </c>
      <c r="C33" s="2" t="inlineStr">
        <is>
          <t>на гостя</t>
        </is>
      </c>
      <c r="D33" s="12">
        <f>B33</f>
        <v/>
      </c>
      <c r="E33" s="12">
        <f>B33</f>
        <v/>
      </c>
      <c r="F33" s="7" t="inlineStr">
        <is>
          <t>ОЦЕНКА по открытым источникам: 140 + 110. Групповой тариф запрошен</t>
        </is>
      </c>
    </row>
    <row r="34">
      <c r="A34" s="11" t="inlineStr">
        <is>
          <t>Прочее: meet &amp; greet, fast track</t>
        </is>
      </c>
      <c r="B34" s="6" t="n">
        <v>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8" t="inlineStr">
        <is>
          <t>ЦЕНЫ НЕТ</t>
        </is>
      </c>
    </row>
    <row r="35">
      <c r="A35" s="11" t="inlineStr">
        <is>
          <t>Резерв на решения на месте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7" t="inlineStr">
        <is>
          <t>НЕ ЗАЛОЖЕН. Обычно 2–3 % от сметы. Ваше решение</t>
        </is>
      </c>
    </row>
    <row r="36">
      <c r="A36" s="11" t="inlineStr">
        <is>
          <t>ПРОПУЩЕННЫЕ СТАТЬИ — итог с листа «Пропущено»</t>
        </is>
      </c>
      <c r="B36" s="12">
        <f>Пропущено!$B$19</f>
        <v/>
      </c>
      <c r="C36" s="2" t="inlineStr">
        <is>
          <t>за группу</t>
        </is>
      </c>
      <c r="D36" s="12">
        <f>B36/$B$6</f>
        <v/>
      </c>
      <c r="E36" s="12">
        <f>B36/$B$6</f>
        <v/>
      </c>
      <c r="F36" s="7" t="inlineStr">
        <is>
          <t>Двенадцать позиций, найденных при сверке. Пока нули</t>
        </is>
      </c>
    </row>
    <row r="37">
      <c r="A37" s="11" t="inlineStr">
        <is>
          <t>КОМАНДА LA ROYAL</t>
        </is>
      </c>
      <c r="B37" s="12">
        <f>Команда!$B$22</f>
        <v/>
      </c>
      <c r="C37" s="2" t="inlineStr">
        <is>
          <t>за группу</t>
        </is>
      </c>
      <c r="D37" s="12">
        <f>B37*Команда!$B$24/$B$6</f>
        <v/>
      </c>
      <c r="E37" s="12">
        <f>B37*Команда!$B$24/$B$6</f>
        <v/>
      </c>
      <c r="F37" s="7" t="inlineStr">
        <is>
          <t>Переключатель «в себестоимость / из вознаграждения» — на листе «Команда»</t>
        </is>
      </c>
    </row>
    <row r="38">
      <c r="A38" s="5" t="inlineStr">
        <is>
          <t>СЕБЕСТОИМОСТЬ НА ГОСТЯ</t>
        </is>
      </c>
      <c r="D38" s="13">
        <f>SUM(D15:D37)</f>
        <v/>
      </c>
      <c r="E38" s="13">
        <f>SUM(E15:E37)</f>
        <v/>
      </c>
    </row>
    <row r="39">
      <c r="A39" s="5" t="inlineStr">
        <is>
          <t>Вознаграждение La Royal</t>
        </is>
      </c>
      <c r="D39" s="12">
        <f>D38*$B$11</f>
        <v/>
      </c>
      <c r="E39" s="12">
        <f>E38*$B$11</f>
        <v/>
      </c>
    </row>
    <row r="40">
      <c r="A40" s="14" t="inlineStr">
        <is>
          <t>ЦЕНА ДЛЯ ГОСТЯ</t>
        </is>
      </c>
      <c r="D40" s="15">
        <f>D38+D39</f>
        <v/>
      </c>
      <c r="E40" s="15">
        <f>E38+E39</f>
        <v/>
      </c>
    </row>
    <row r="41">
      <c r="A41" s="2" t="inlineStr">
        <is>
          <t>Вознаграждение со всей группы</t>
        </is>
      </c>
      <c r="D41" s="16">
        <f>D39*$B$6-Команда!$B$22*(1-Команда!$B$24)</f>
        <v/>
      </c>
      <c r="E41" s="16">
        <f>E39*$B$6-Команда!$B$22*(1-Команда!$B$24)</f>
        <v/>
      </c>
      <c r="F41" s="2" t="inlineStr">
        <is>
          <t>Если команда идёт из вознаграждения, её расходы вычитаются здесь</t>
        </is>
      </c>
    </row>
    <row r="42">
      <c r="A42" s="2" t="inlineStr">
        <is>
          <t>Если 15 % считать долей в цене, а не наценкой</t>
        </is>
      </c>
      <c r="D42" s="17">
        <f>D38/(1-$B$11)</f>
        <v/>
      </c>
      <c r="E42" s="17">
        <f>E38/(1-$B$11)</f>
        <v/>
      </c>
    </row>
    <row r="43">
      <c r="A43" s="2" t="inlineStr">
        <is>
          <t>Разница между двумя трактовками, на гостя</t>
        </is>
      </c>
      <c r="D43" s="17">
        <f>D42-D40</f>
        <v/>
      </c>
      <c r="E43" s="17">
        <f>E42-E40</f>
        <v/>
      </c>
    </row>
    <row r="45">
      <c r="A45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  <row r="10" ht="42" customHeight="1">
      <c r="A10" s="5" t="n">
        <v>7</v>
      </c>
      <c r="B10" s="11" t="inlineStr">
        <is>
          <t>Сколько кают на нынешнем борту и влезает ли двадцать гостей плюс три каюты команды?</t>
        </is>
      </c>
      <c r="C10" s="11" t="inlineStr">
        <is>
          <t>Судовой оператор</t>
        </is>
      </c>
      <c r="D10" s="23" t="inlineStr">
        <is>
          <t>На этом держится вся выгода добора до 20: 18 366 вместо 21 814</t>
        </is>
      </c>
    </row>
    <row r="11" ht="42" customHeight="1">
      <c r="A11" s="5" t="n">
        <v>8</v>
      </c>
      <c r="B11" s="11" t="inlineStr">
        <is>
          <t>Ставка фрахта на борт 22–24 каюты и на борт 35–40 кают, те же даты</t>
        </is>
      </c>
      <c r="C11" s="11" t="inlineStr">
        <is>
          <t>Два-три судовых оператора</t>
        </is>
      </c>
      <c r="D11" s="23" t="inlineStr">
        <is>
          <t>Вилка на 30 гостей 503–572 тыс. Сейчас это наша оценка 75–90 тыс./день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На 30 гостей нужны четыре корзины,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2026-09-22T16:38:11Z</dcterms:created>
  <dcterms:modified xmlns:dcterms="http://purl.org/dc/terms/" xmlns:xsi="http://www.w3.org/2001/XMLSchema-instance" xsi:type="dcterms:W3CDTF">2026-09-22T16:38:11Z</dcterms:modified>
</cp:coreProperties>
</file>