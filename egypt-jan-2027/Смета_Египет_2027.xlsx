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Нужно два. Ночное может быть дороже утреннего</t>
        </is>
      </c>
    </row>
    <row r="19">
      <c r="A19" s="11" t="inlineStr">
        <is>
          <t>Абу-Симбел самолётом</t>
        </is>
      </c>
      <c r="B19" s="6" t="n">
        <v>470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Только перелёт. Билеты и транспорт на месте — отдельно</t>
        </is>
      </c>
    </row>
    <row r="20">
      <c r="A20" s="11" t="inlineStr">
        <is>
          <t>Giza Palace, ночь</t>
        </is>
      </c>
      <c r="B20" s="6" t="n">
        <v>325</v>
      </c>
      <c r="C20" s="2" t="inlineStr">
        <is>
          <t>за номер за ночь</t>
        </is>
      </c>
      <c r="D20" s="12">
        <f>B20*2</f>
        <v/>
      </c>
      <c r="E20" s="12">
        <f>B20*2</f>
        <v/>
      </c>
      <c r="F20" s="7" t="inlineStr">
        <is>
          <t>Две ночи. Открытые источники 222–349. Запросить групповой тариф</t>
        </is>
      </c>
    </row>
    <row r="21">
      <c r="A21" s="11" t="inlineStr">
        <is>
          <t>Steigenberger Nile Palace, ночь</t>
        </is>
      </c>
      <c r="B21" s="6" t="n">
        <v>170</v>
      </c>
      <c r="C21" s="2" t="inlineStr">
        <is>
          <t>за номер за ночь</t>
        </is>
      </c>
      <c r="D21" s="12">
        <f>B21</f>
        <v/>
      </c>
      <c r="E21" s="12">
        <f>B21</f>
        <v/>
      </c>
      <c r="F21" s="7" t="inlineStr">
        <is>
          <t>Открытые источники 120–176. Запросить групповой тариф</t>
        </is>
      </c>
    </row>
    <row r="22">
      <c r="A22" s="11" t="inlineStr">
        <is>
          <t>Four Seasons Cairo, ночь</t>
        </is>
      </c>
      <c r="B22" s="6" t="n">
        <v>570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Названо отелем, все налоги включены</t>
        </is>
      </c>
    </row>
    <row r="23">
      <c r="A23" s="11" t="inlineStr">
        <is>
          <t>Ужин в Four Seasons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0</f>
        <v/>
      </c>
      <c r="F23" s="7" t="inlineStr">
        <is>
          <t>Net или ++? С надбавками 319. Только вариант A</t>
        </is>
      </c>
    </row>
    <row r="24">
      <c r="A24" s="11" t="inlineStr">
        <is>
          <t>Ужин в Lucida или руфтоп</t>
        </is>
      </c>
      <c r="B24" s="6" t="n">
        <v>150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Net или ++? С надбавками 192</t>
        </is>
      </c>
    </row>
    <row r="25">
      <c r="A25" s="11" t="inlineStr">
        <is>
          <t>Питание в отелях вне названных ресторанов</t>
        </is>
      </c>
      <c r="B25" s="6" t="n">
        <v>200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Наша оценка на всю поездку: ужин 40–60, обед 25–35</t>
        </is>
      </c>
    </row>
    <row r="26">
      <c r="A26" s="11" t="inlineStr">
        <is>
          <t>Полёт на шаре</t>
        </is>
      </c>
      <c r="B26" s="6" t="n">
        <v>2500</v>
      </c>
      <c r="C26" s="2" t="inlineStr">
        <is>
          <t>за корзину</t>
        </is>
      </c>
      <c r="D26" s="12">
        <f>B26/$B$6</f>
        <v/>
      </c>
      <c r="E26" s="12">
        <f>B26/$B$6</f>
        <v/>
      </c>
      <c r="F26" s="7" t="inlineStr">
        <is>
          <t>Корзина на 8–12. На 16 гостей, вероятно, нужны ДВЕ</t>
        </is>
      </c>
    </row>
    <row r="27">
      <c r="A27" s="11" t="inlineStr">
        <is>
          <t>Нубийский ансамбль</t>
        </is>
      </c>
      <c r="B27" s="6" t="n">
        <v>650</v>
      </c>
      <c r="C27" s="2" t="inlineStr">
        <is>
          <t>за вечер</t>
        </is>
      </c>
      <c r="D27" s="12">
        <f>B27/$B$6</f>
        <v/>
      </c>
      <c r="E27" s="12">
        <f>B27/$B$6</f>
        <v/>
      </c>
      <c r="F27" s="7" t="inlineStr">
        <is>
          <t>Наша оценка 400–900. Публичных прайсов нет</t>
        </is>
      </c>
    </row>
    <row r="28">
      <c r="A28" s="11" t="inlineStr">
        <is>
          <t>Гала-ужин на борту, вариант B</t>
        </is>
      </c>
      <c r="B28" s="6" t="n">
        <v>0</v>
      </c>
      <c r="C28" s="2" t="inlineStr">
        <is>
          <t>за группу</t>
        </is>
      </c>
      <c r="D28" s="12">
        <f>0</f>
        <v/>
      </c>
      <c r="E28" s="12">
        <f>B28/$B$6</f>
        <v/>
      </c>
      <c r="F28" s="8" t="inlineStr">
        <is>
          <t>ЦЕНЫ НЕТ. Меню, декор, музыка сверх пансиона</t>
        </is>
      </c>
    </row>
    <row r="29">
      <c r="A29" s="11" t="inlineStr">
        <is>
          <t>Наземная программа 22–25 января</t>
        </is>
      </c>
      <c r="B29" s="6" t="n">
        <v>0</v>
      </c>
      <c r="C29" s="2" t="inlineStr">
        <is>
          <t>за группу</t>
        </is>
      </c>
      <c r="D29" s="12">
        <f>B29/$B$6</f>
        <v/>
      </c>
      <c r="E29" s="12">
        <f>B29/$B$6</f>
        <v/>
      </c>
      <c r="F29" s="8" t="inlineStr">
        <is>
          <t>ЦЕНЫ НЕТ. Гид, транспорт, билеты, GEM. Крупнейшая дыра в смете</t>
        </is>
      </c>
    </row>
    <row r="30">
      <c r="A30" s="11" t="inlineStr">
        <is>
          <t>Перелёты Каир–Луксор и Асуан–Каир</t>
        </is>
      </c>
      <c r="B30" s="6" t="n">
        <v>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8" t="inlineStr">
        <is>
          <t>ЦЕНЫ НЕТ. Групповой тариф. Места команды — на листе «Команда»</t>
        </is>
      </c>
    </row>
    <row r="31">
      <c r="A31" s="11" t="inlineStr">
        <is>
          <t>Прочее: Khufu's, Абу-Симбел на месте, meet &amp; greet, чаевые вне судна, страховка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8" t="inlineStr">
        <is>
          <t>ЦЕНЫ НЕТ</t>
        </is>
      </c>
    </row>
    <row r="32">
      <c r="A32" s="11" t="inlineStr">
        <is>
          <t>КОМАНДА LA ROYAL</t>
        </is>
      </c>
      <c r="B32" s="12">
        <f>Команда!$B$22</f>
        <v/>
      </c>
      <c r="C32" s="2" t="inlineStr">
        <is>
          <t>за группу</t>
        </is>
      </c>
      <c r="D32" s="12">
        <f>B32*Команда!$B$24/$B$6</f>
        <v/>
      </c>
      <c r="E32" s="12">
        <f>B32*Команда!$B$24/$B$6</f>
        <v/>
      </c>
      <c r="F32" s="7" t="inlineStr">
        <is>
          <t>Переключатель «в себестоимость / из вознаграждения» — на листе «Команда»</t>
        </is>
      </c>
    </row>
    <row r="33">
      <c r="A33" s="5" t="inlineStr">
        <is>
          <t>СЕБЕСТОИМОСТЬ НА ГОСТЯ</t>
        </is>
      </c>
      <c r="D33" s="13">
        <f>SUM(D15:D32)</f>
        <v/>
      </c>
      <c r="E33" s="13">
        <f>SUM(E15:E32)</f>
        <v/>
      </c>
    </row>
    <row r="34">
      <c r="A34" s="5" t="inlineStr">
        <is>
          <t>Вознаграждение La Royal</t>
        </is>
      </c>
      <c r="D34" s="12">
        <f>D33*$B$11</f>
        <v/>
      </c>
      <c r="E34" s="12">
        <f>E33*$B$11</f>
        <v/>
      </c>
    </row>
    <row r="35">
      <c r="A35" s="14" t="inlineStr">
        <is>
          <t>ЦЕНА ДЛЯ ГОСТЯ</t>
        </is>
      </c>
      <c r="D35" s="15">
        <f>D33+D34</f>
        <v/>
      </c>
      <c r="E35" s="15">
        <f>E33+E34</f>
        <v/>
      </c>
    </row>
    <row r="36">
      <c r="A36" s="2" t="inlineStr">
        <is>
          <t>Вознаграждение со всей группы</t>
        </is>
      </c>
      <c r="D36" s="16">
        <f>D34*$B$6-Команда!$B$22*(1-Команда!$B$24)</f>
        <v/>
      </c>
      <c r="E36" s="16">
        <f>E34*$B$6-Команда!$B$22*(1-Команда!$B$24)</f>
        <v/>
      </c>
      <c r="F36" s="2" t="inlineStr">
        <is>
          <t>Если команда идёт из вознаграждения, её расходы вычитаются здесь</t>
        </is>
      </c>
    </row>
    <row r="37">
      <c r="A37" s="2" t="inlineStr">
        <is>
          <t>Если 15 % считать долей в цене, а не наценкой</t>
        </is>
      </c>
      <c r="D37" s="17">
        <f>D33/(1-$B$11)</f>
        <v/>
      </c>
      <c r="E37" s="17">
        <f>E33/(1-$B$11)</f>
        <v/>
      </c>
    </row>
    <row r="38">
      <c r="A38" s="2" t="inlineStr">
        <is>
          <t>Разница между двумя трактовками, на гостя</t>
        </is>
      </c>
      <c r="D38" s="17">
        <f>D37-D35</f>
        <v/>
      </c>
      <c r="E38" s="17">
        <f>E37-E35</f>
        <v/>
      </c>
    </row>
    <row r="40">
      <c r="A40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Four Seasons, за номер</t>
        </is>
      </c>
      <c r="B10" s="6" t="n">
        <v>570</v>
      </c>
      <c r="D10" s="7" t="inlineStr">
        <is>
          <t>С группой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Four Seasons, 1 ночь</t>
        </is>
      </c>
      <c r="B17" s="12">
        <f>ROUNDUP($B$5/$B$6,0)*$B$10</f>
        <v/>
      </c>
      <c r="D17" s="7" t="inlineStr">
        <is>
          <t>Номеров × цена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 Lucida и Four Seasons</t>
        </is>
      </c>
      <c r="B19" s="12">
        <f>$B$7*400</f>
        <v/>
      </c>
      <c r="D19" s="7" t="inlineStr">
        <is>
          <t>150 + 250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0</f>
        <v/>
      </c>
      <c r="D21" s="8" t="inlineStr">
        <is>
          <t>ЦЕНЫ НЕТ. Заполнить, когда придёт тариф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ВОСЕМЬ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Вместимость корзины шара; сколько корзин покрывают 2 500</t>
        </is>
      </c>
      <c r="C7" s="11" t="inlineStr">
        <is>
          <t>Оператор шара</t>
        </is>
      </c>
      <c r="D7" s="23" t="inlineStr">
        <is>
          <t>Вероятно 5 000 вместо 2 500</t>
        </is>
      </c>
    </row>
    <row r="8" ht="42" customHeight="1">
      <c r="A8" s="5" t="n">
        <v>5</v>
      </c>
      <c r="B8" s="11" t="inlineStr">
        <is>
          <t>Гиза: зоны, число человек в разрешении, длительность, съёмка; ночное дороже утреннего?</t>
        </is>
      </c>
      <c r="C8" s="11" t="inlineStr">
        <is>
          <t>Подрядчик спецдоступов</t>
        </is>
      </c>
      <c r="D8" s="23" t="inlineStr">
        <is>
          <t>7 000 за два посещения</t>
        </is>
      </c>
    </row>
    <row r="9" ht="42" customHeight="1">
      <c r="A9" s="5" t="n">
        <v>6</v>
      </c>
      <c r="B9" s="11" t="inlineStr">
        <is>
          <t>Four Seasons и Lucida: 250 и 150 — net или ++? Минимальный счёт за приватную зону?</t>
        </is>
      </c>
      <c r="C9" s="11" t="inlineStr">
        <is>
          <t>Отели и ресторан</t>
        </is>
      </c>
      <c r="D9" s="23" t="inlineStr">
        <is>
          <t>Около 1 800 на группу</t>
        </is>
      </c>
    </row>
    <row r="10" ht="42" customHeight="1">
      <c r="A10" s="5" t="n">
        <v>7</v>
      </c>
      <c r="B10" s="11" t="inlineStr">
        <is>
          <t>Филе: фиксируем курс? Входит ли лодка от Шеллала? Цена ужина на острове?</t>
        </is>
      </c>
      <c r="C10" s="11" t="inlineStr">
        <is>
          <t>Мара, Egypt &amp; Africa Travel</t>
        </is>
      </c>
      <c r="D10" s="23" t="inlineStr">
        <is>
          <t>Разброс 1 100 плюс неизвестная</t>
        </is>
      </c>
    </row>
    <row r="11" ht="42" customHeight="1">
      <c r="A11" s="5" t="n">
        <v>8</v>
      </c>
      <c r="B11" s="11" t="inlineStr">
        <is>
          <t>Групповой блок номеров на январь: Giza Palace и Steigenberger</t>
        </is>
      </c>
      <c r="C11" s="11" t="inlineStr">
        <is>
          <t>Отделы продаж отелей</t>
        </is>
      </c>
      <c r="D11" s="23" t="inlineStr">
        <is>
          <t>Наши 325 и 170 — из интернета, ±30 %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2026-09-20T19:32:35Z</dcterms:created>
  <dcterms:modified xmlns:dcterms="http://purl.org/dc/terms/" xmlns:xsi="http://www.w3.org/2001/XMLSchema-instance" xsi:type="dcterms:W3CDTF">2026-09-20T19:32:35Z</dcterms:modified>
</cp:coreProperties>
</file>