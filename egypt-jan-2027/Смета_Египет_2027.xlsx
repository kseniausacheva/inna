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лькулятор" sheetId="1" state="visible" r:id="rId1"/>
    <sheet xmlns:r="http://schemas.openxmlformats.org/officeDocument/2006/relationships" name="Команда и каюты" sheetId="2" state="visible" r:id="rId2"/>
    <sheet xmlns:r="http://schemas.openxmlformats.org/officeDocument/2006/relationships" name="Вопросы поставщика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1">
    <font>
      <name val="Calibri"/>
      <family val="2"/>
      <color theme="1"/>
      <sz val="11"/>
      <scheme val="minor"/>
    </font>
    <font>
      <b val="1"/>
      <color rgb="005B46B8"/>
      <sz val="14"/>
    </font>
    <font>
      <i val="1"/>
      <color rgb="007A729C"/>
      <sz val="9"/>
    </font>
    <font>
      <b val="1"/>
      <color rgb="005B46B8"/>
      <sz val="11"/>
    </font>
    <font>
      <b val="1"/>
      <color rgb="00FFFFFF"/>
      <sz val="11"/>
    </font>
    <font>
      <b val="1"/>
    </font>
    <font>
      <b val="1"/>
      <color rgb="005B46B8"/>
      <sz val="12"/>
    </font>
    <font>
      <b val="1"/>
      <sz val="12"/>
    </font>
    <font>
      <b val="1"/>
      <color rgb="00A85CB0"/>
    </font>
    <font>
      <b val="1"/>
      <color rgb="005B46B8"/>
      <sz val="13"/>
    </font>
    <font/>
  </fonts>
  <fills count="8">
    <fill>
      <patternFill/>
    </fill>
    <fill>
      <patternFill patternType="gray125"/>
    </fill>
    <fill>
      <patternFill patternType="solid">
        <fgColor rgb="005B46B8"/>
      </patternFill>
    </fill>
    <fill>
      <patternFill patternType="solid">
        <fgColor rgb="00FFF2CC"/>
      </patternFill>
    </fill>
    <fill>
      <patternFill patternType="solid">
        <fgColor rgb="00FBF0FB"/>
      </patternFill>
    </fill>
    <fill>
      <patternFill patternType="solid">
        <fgColor rgb="00EFECFB"/>
      </patternFill>
    </fill>
    <fill>
      <patternFill patternType="solid">
        <fgColor rgb="00D9E2F3"/>
      </patternFill>
    </fill>
    <fill>
      <patternFill patternType="solid">
        <fgColor rgb="00C3E850"/>
      </patternFill>
    </fill>
  </fills>
  <borders count="2">
    <border>
      <left/>
      <right/>
      <top/>
      <bottom/>
      <diagonal/>
    </border>
    <border>
      <left style="thin">
        <color rgb="00E4DFF8"/>
      </left>
      <right style="thin">
        <color rgb="00E4DFF8"/>
      </right>
      <top style="thin">
        <color rgb="00E4DFF8"/>
      </top>
      <bottom style="thin">
        <color rgb="00E4DFF8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3" fontId="0" fillId="3" borderId="1" pivotButton="0" quotePrefix="0" xfId="0"/>
    <xf numFmtId="0" fontId="2" fillId="0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164" fontId="0" fillId="3" borderId="1" pivotButton="0" quotePrefix="0" xfId="0"/>
    <xf numFmtId="9" fontId="0" fillId="3" borderId="1" pivotButton="0" quotePrefix="0" xfId="0"/>
    <xf numFmtId="0" fontId="0" fillId="0" borderId="0" applyAlignment="1" pivotButton="0" quotePrefix="0" xfId="0">
      <alignment vertical="top" wrapText="1"/>
    </xf>
    <xf numFmtId="3" fontId="0" fillId="5" borderId="1" pivotButton="0" quotePrefix="0" xfId="0"/>
    <xf numFmtId="3" fontId="5" fillId="6" borderId="1" pivotButton="0" quotePrefix="0" xfId="0"/>
    <xf numFmtId="0" fontId="6" fillId="0" borderId="0" pivotButton="0" quotePrefix="0" xfId="0"/>
    <xf numFmtId="3" fontId="7" fillId="7" borderId="1" pivotButton="0" quotePrefix="0" xfId="0"/>
    <xf numFmtId="3" fontId="0" fillId="4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3" fontId="0" fillId="7" borderId="1" pivotButton="0" quotePrefix="0" xfId="0"/>
    <xf numFmtId="0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6" customWidth="1" min="3" max="3"/>
    <col width="13" customWidth="1" min="4" max="4"/>
    <col width="13" customWidth="1" min="5" max="5"/>
    <col width="50" customWidth="1" min="6" max="6"/>
  </cols>
  <sheetData>
    <row r="1">
      <c r="A1" s="1" t="inlineStr">
        <is>
          <t>СМЕТА НА ОДНОГО ГОСТЯ · Египет, январь 2027 · La Royal Event</t>
        </is>
      </c>
    </row>
    <row r="2">
      <c r="A2" s="2" t="inlineStr">
        <is>
          <t>Жёлтое меняем руками, сиреневое считается само. Цены поставщиков названы устно; цены отелей взяты из открытых источников и предложением не являются.</t>
        </is>
      </c>
    </row>
    <row r="4">
      <c r="A4" s="3" t="inlineStr">
        <is>
          <t>ИСХОДНЫЕ ДАННЫЕ</t>
        </is>
      </c>
    </row>
    <row r="5">
      <c r="A5" s="4" t="inlineStr">
        <is>
          <t>Параметр</t>
        </is>
      </c>
      <c r="B5" s="4" t="inlineStr">
        <is>
          <t>Значение</t>
        </is>
      </c>
      <c r="C5" s="4" t="inlineStr">
        <is>
          <t>Ед.</t>
        </is>
      </c>
      <c r="D5" s="4" t="inlineStr"/>
      <c r="E5" s="4" t="inlineStr"/>
      <c r="F5" s="4" t="inlineStr">
        <is>
          <t>Комментарий</t>
        </is>
      </c>
    </row>
    <row r="6">
      <c r="A6" s="5" t="inlineStr">
        <is>
          <t>Гостей</t>
        </is>
      </c>
      <c r="B6" s="6" t="n">
        <v>16</v>
      </c>
      <c r="C6" s="2" t="inlineStr">
        <is>
          <t>чел</t>
        </is>
      </c>
      <c r="F6" s="7" t="inlineStr">
        <is>
          <t>На это число делится всё</t>
        </is>
      </c>
    </row>
    <row r="7">
      <c r="A7" s="5" t="inlineStr">
        <is>
          <t>Команда La Royal в поездке</t>
        </is>
      </c>
      <c r="B7" s="6" t="n">
        <v>4</v>
      </c>
      <c r="C7" s="2" t="inlineStr">
        <is>
          <t>чел</t>
        </is>
      </c>
      <c r="F7" s="7" t="inlineStr">
        <is>
          <t>Их номера, перелёты и питание ложатся на цену гостя</t>
        </is>
      </c>
    </row>
    <row r="8">
      <c r="A8" s="5" t="inlineStr">
        <is>
          <t>Команда: человек в номере</t>
        </is>
      </c>
      <c r="B8" s="6" t="n">
        <v>2</v>
      </c>
      <c r="C8" s="2" t="inlineStr">
        <is>
          <t>чел</t>
        </is>
      </c>
      <c r="F8" s="7" t="inlineStr">
        <is>
          <t>2 = селим по двое. 1 = одноместно, дороже</t>
        </is>
      </c>
    </row>
    <row r="9">
      <c r="A9" s="5" t="inlineStr">
        <is>
          <t>Дней фрахта, вариант A</t>
        </is>
      </c>
      <c r="B9" s="6" t="n">
        <v>4</v>
      </c>
      <c r="C9" s="2" t="inlineStr">
        <is>
          <t>дней</t>
        </is>
      </c>
      <c r="F9" s="7" t="inlineStr">
        <is>
          <t>25–29 января</t>
        </is>
      </c>
    </row>
    <row r="10">
      <c r="A10" s="5" t="inlineStr">
        <is>
          <t>Дней фрахта, вариант B</t>
        </is>
      </c>
      <c r="B10" s="6" t="n">
        <v>5</v>
      </c>
      <c r="C10" s="2" t="inlineStr">
        <is>
          <t>дней</t>
        </is>
      </c>
      <c r="F10" s="7" t="inlineStr">
        <is>
          <t>25–30 января</t>
        </is>
      </c>
    </row>
    <row r="11">
      <c r="A11" s="5" t="inlineStr">
        <is>
          <t>Фрахт за день, USD</t>
        </is>
      </c>
      <c r="B11" s="6" t="n">
        <v>54500</v>
      </c>
      <c r="C11" s="2" t="inlineStr">
        <is>
          <t>USD</t>
        </is>
      </c>
      <c r="F11" s="8" t="inlineStr">
        <is>
          <t>ПРОВЕРИТЬ: за ночь фрахта или за календарный день</t>
        </is>
      </c>
    </row>
    <row r="12">
      <c r="A12" s="5" t="inlineStr">
        <is>
          <t>Курс EUR/USD</t>
        </is>
      </c>
      <c r="B12" s="9" t="n">
        <v>1.1489</v>
      </c>
      <c r="C12" s="2" t="inlineStr"/>
      <c r="F12" s="7" t="inlineStr">
        <is>
          <t>На 20.09.2026. На дату платежа будет другим</t>
        </is>
      </c>
    </row>
    <row r="13">
      <c r="A13" s="5" t="inlineStr">
        <is>
          <t>Вознаграждение La Royal</t>
        </is>
      </c>
      <c r="B13" s="10" t="n">
        <v>0.15</v>
      </c>
      <c r="C13" s="2" t="inlineStr">
        <is>
          <t>доля</t>
        </is>
      </c>
      <c r="F13" s="7" t="inlineStr">
        <is>
          <t>Наценка на себестоимость</t>
        </is>
      </c>
    </row>
    <row r="15">
      <c r="A15" s="3" t="inlineStr">
        <is>
          <t>РАСЧЁТ</t>
        </is>
      </c>
      <c r="F15" s="2" t="inlineStr">
        <is>
          <t>Колонка «×» показывает, на скольких человек берётся позиция</t>
        </is>
      </c>
    </row>
    <row r="16">
      <c r="A16" s="4" t="inlineStr">
        <is>
          <t>Статья</t>
        </is>
      </c>
      <c r="B16" s="4" t="inlineStr">
        <is>
          <t>Цена</t>
        </is>
      </c>
      <c r="C16" s="4" t="inlineStr">
        <is>
          <t>Единица</t>
        </is>
      </c>
      <c r="D16" s="4" t="inlineStr">
        <is>
          <t>A, на гостя</t>
        </is>
      </c>
      <c r="E16" s="4" t="inlineStr">
        <is>
          <t>B, на гостя</t>
        </is>
      </c>
      <c r="F16" s="4" t="inlineStr">
        <is>
          <t>Что уточнить</t>
        </is>
      </c>
    </row>
    <row r="17">
      <c r="A17" s="11" t="inlineStr">
        <is>
          <t>Фрахт судна</t>
        </is>
      </c>
      <c r="B17" s="12">
        <f>$B$11</f>
        <v/>
      </c>
      <c r="C17" s="2" t="inlineStr">
        <is>
          <t>за день</t>
        </is>
      </c>
      <c r="D17" s="12">
        <f>$B$11*$B$9/$B$6</f>
        <v/>
      </c>
      <c r="E17" s="12">
        <f>$B$11*$B$10/$B$6</f>
        <v/>
      </c>
      <c r="F17" s="8" t="inlineStr">
        <is>
          <t>ПРОВЕРИТЬ: «в день» — за ночь или за календарный день. И входят ли каюты команды</t>
        </is>
      </c>
    </row>
    <row r="18">
      <c r="A18" s="11" t="inlineStr">
        <is>
          <t>Филе: визит и показ</t>
        </is>
      </c>
      <c r="B18" s="6" t="n">
        <v>15000</v>
      </c>
      <c r="C18" s="2" t="inlineStr">
        <is>
          <t>EUR за группу</t>
        </is>
      </c>
      <c r="D18" s="12">
        <f>B18*$B$12/$B$6</f>
        <v/>
      </c>
      <c r="E18" s="12">
        <f>B18*$B$12/$B$6</f>
        <v/>
      </c>
      <c r="F18" s="7" t="inlineStr">
        <is>
          <t>Договор в евро. Входит ли лодка от Шеллала</t>
        </is>
      </c>
    </row>
    <row r="19">
      <c r="A19" s="11" t="inlineStr">
        <is>
          <t>Ужин на острове Филе</t>
        </is>
      </c>
      <c r="B19" s="6" t="n">
        <v>0</v>
      </c>
      <c r="C19" s="2" t="inlineStr">
        <is>
          <t>за группу</t>
        </is>
      </c>
      <c r="D19" s="12">
        <f>B19/$B$6</f>
        <v/>
      </c>
      <c r="E19" s="12">
        <f>B19/$B$6</f>
        <v/>
      </c>
      <c r="F19" s="8" t="inlineStr">
        <is>
          <t>ЦЕНЫ НЕТ. Плюсом к 15 000 EUR</t>
        </is>
      </c>
    </row>
    <row r="20">
      <c r="A20" s="11" t="inlineStr">
        <is>
          <t>Гиза: приватный доступ, одно посещение</t>
        </is>
      </c>
      <c r="B20" s="6" t="n">
        <v>3500</v>
      </c>
      <c r="C20" s="2" t="inlineStr">
        <is>
          <t>за посещение</t>
        </is>
      </c>
      <c r="D20" s="12">
        <f>B20*2/$B$6</f>
        <v/>
      </c>
      <c r="E20" s="12">
        <f>B20*2/$B$6</f>
        <v/>
      </c>
      <c r="F20" s="7" t="inlineStr">
        <is>
          <t>Нужно два. Ночное может быть дороже утреннего</t>
        </is>
      </c>
    </row>
    <row r="21">
      <c r="A21" s="11" t="inlineStr">
        <is>
          <t>Абу-Симбел самолётом</t>
        </is>
      </c>
      <c r="B21" s="6" t="n">
        <v>470</v>
      </c>
      <c r="C21" s="2" t="inlineStr">
        <is>
          <t>на человека</t>
        </is>
      </c>
      <c r="D21" s="12">
        <f>B21*($B$6+$B$7)/$B$6</f>
        <v/>
      </c>
      <c r="E21" s="12">
        <f>B21*($B$6+$B$7)/$B$6</f>
        <v/>
      </c>
      <c r="F21" s="7" t="inlineStr">
        <is>
          <t>Только перелёт. Билеты и транспорт на месте — отдельно</t>
        </is>
      </c>
    </row>
    <row r="22">
      <c r="A22" s="11" t="inlineStr">
        <is>
          <t>Giza Palace, ночь</t>
        </is>
      </c>
      <c r="B22" s="6" t="n">
        <v>325</v>
      </c>
      <c r="C22" s="2" t="inlineStr">
        <is>
          <t>за номер за ночь</t>
        </is>
      </c>
      <c r="D22" s="12">
        <f>B22*($B$6*2+ROUNDUP($B$7/$B$8,0)*2)/$B$6</f>
        <v/>
      </c>
      <c r="E22" s="12">
        <f>B22*($B$6*2+ROUNDUP($B$7/$B$8,0)*2)/$B$6</f>
        <v/>
      </c>
      <c r="F22" s="7" t="inlineStr">
        <is>
          <t>Открытые источники 222–349. Запросить групповой тариф</t>
        </is>
      </c>
    </row>
    <row r="23">
      <c r="A23" s="11" t="inlineStr">
        <is>
          <t>Steigenberger Nile Palace, ночь</t>
        </is>
      </c>
      <c r="B23" s="6" t="n">
        <v>170</v>
      </c>
      <c r="C23" s="2" t="inlineStr">
        <is>
          <t>за номер за ночь</t>
        </is>
      </c>
      <c r="D23" s="12">
        <f>B23*($B$6+ROUNDUP($B$7/$B$8,0))/$B$6</f>
        <v/>
      </c>
      <c r="E23" s="12">
        <f>B23*($B$6+ROUNDUP($B$7/$B$8,0))/$B$6</f>
        <v/>
      </c>
      <c r="F23" s="7" t="inlineStr">
        <is>
          <t>Открытые источники 120–176. Запросить групповой тариф</t>
        </is>
      </c>
    </row>
    <row r="24">
      <c r="A24" s="11" t="inlineStr">
        <is>
          <t>Four Seasons Cairo, ночь</t>
        </is>
      </c>
      <c r="B24" s="6" t="n">
        <v>570</v>
      </c>
      <c r="C24" s="2" t="inlineStr">
        <is>
          <t>на человека</t>
        </is>
      </c>
      <c r="D24" s="12">
        <f>B24*($B$6+ROUNDUP($B$7/$B$8,0))/$B$6</f>
        <v/>
      </c>
      <c r="E24" s="12">
        <f>B24*($B$6+ROUNDUP($B$7/$B$8,0))/$B$6</f>
        <v/>
      </c>
      <c r="F24" s="7" t="inlineStr">
        <is>
          <t>Названо отелем, все налоги включены</t>
        </is>
      </c>
    </row>
    <row r="25">
      <c r="A25" s="11" t="inlineStr">
        <is>
          <t>Ужин в Four Seasons</t>
        </is>
      </c>
      <c r="B25" s="6" t="n">
        <v>250</v>
      </c>
      <c r="C25" s="2" t="inlineStr">
        <is>
          <t>на человека</t>
        </is>
      </c>
      <c r="D25" s="12">
        <f>B25*($B$6+$B$7)/$B$6</f>
        <v/>
      </c>
      <c r="E25" s="12">
        <f>0</f>
        <v/>
      </c>
      <c r="F25" s="7" t="inlineStr">
        <is>
          <t>Net или ++? С надбавками 319. Только вариант A</t>
        </is>
      </c>
    </row>
    <row r="26">
      <c r="A26" s="11" t="inlineStr">
        <is>
          <t>Ужин в Lucida или руфтоп</t>
        </is>
      </c>
      <c r="B26" s="6" t="n">
        <v>150</v>
      </c>
      <c r="C26" s="2" t="inlineStr">
        <is>
          <t>на человека</t>
        </is>
      </c>
      <c r="D26" s="12">
        <f>B26*($B$6+$B$7)/$B$6</f>
        <v/>
      </c>
      <c r="E26" s="12">
        <f>B26*($B$6+$B$7)/$B$6</f>
        <v/>
      </c>
      <c r="F26" s="7" t="inlineStr">
        <is>
          <t>Net или ++? С надбавками 192</t>
        </is>
      </c>
    </row>
    <row r="27">
      <c r="A27" s="11" t="inlineStr">
        <is>
          <t>Питание в отелях вне названных ресторанов</t>
        </is>
      </c>
      <c r="B27" s="6" t="n">
        <v>200</v>
      </c>
      <c r="C27" s="2" t="inlineStr">
        <is>
          <t>на человека</t>
        </is>
      </c>
      <c r="D27" s="12">
        <f>B27*($B$6+$B$7)/$B$6</f>
        <v/>
      </c>
      <c r="E27" s="12">
        <f>B27*($B$6+$B$7)/$B$6</f>
        <v/>
      </c>
      <c r="F27" s="7" t="inlineStr">
        <is>
          <t>Наша оценка на всю поездку: ужин 40–60, обед 25–35</t>
        </is>
      </c>
    </row>
    <row r="28">
      <c r="A28" s="11" t="inlineStr">
        <is>
          <t>Полёт на шаре</t>
        </is>
      </c>
      <c r="B28" s="6" t="n">
        <v>2500</v>
      </c>
      <c r="C28" s="2" t="inlineStr">
        <is>
          <t>за корзину</t>
        </is>
      </c>
      <c r="D28" s="12">
        <f>B28/$B$6</f>
        <v/>
      </c>
      <c r="E28" s="12">
        <f>B28/$B$6</f>
        <v/>
      </c>
      <c r="F28" s="7" t="inlineStr">
        <is>
          <t>Корзина на 8–12. На 16 гостей, вероятно, нужны ДВЕ</t>
        </is>
      </c>
    </row>
    <row r="29">
      <c r="A29" s="11" t="inlineStr">
        <is>
          <t>Нубийский ансамбль</t>
        </is>
      </c>
      <c r="B29" s="6" t="n">
        <v>650</v>
      </c>
      <c r="C29" s="2" t="inlineStr">
        <is>
          <t>за вечер</t>
        </is>
      </c>
      <c r="D29" s="12">
        <f>B29/$B$6</f>
        <v/>
      </c>
      <c r="E29" s="12">
        <f>B29/$B$6</f>
        <v/>
      </c>
      <c r="F29" s="7" t="inlineStr">
        <is>
          <t>Наша оценка 400–900. Публичных прайсов нет</t>
        </is>
      </c>
    </row>
    <row r="30">
      <c r="A30" s="11" t="inlineStr">
        <is>
          <t>Гала-ужин на борту, вариант B</t>
        </is>
      </c>
      <c r="B30" s="6" t="n">
        <v>0</v>
      </c>
      <c r="C30" s="2" t="inlineStr">
        <is>
          <t>за группу</t>
        </is>
      </c>
      <c r="D30" s="12">
        <f>0</f>
        <v/>
      </c>
      <c r="E30" s="12">
        <f>B30/$B$6</f>
        <v/>
      </c>
      <c r="F30" s="8" t="inlineStr">
        <is>
          <t>ЦЕНЫ НЕТ. Меню, декор, музыка сверх пансиона</t>
        </is>
      </c>
    </row>
    <row r="31">
      <c r="A31" s="11" t="inlineStr">
        <is>
          <t>Наземная программа 22–25 января</t>
        </is>
      </c>
      <c r="B31" s="6" t="n">
        <v>0</v>
      </c>
      <c r="C31" s="2" t="inlineStr">
        <is>
          <t>за группу</t>
        </is>
      </c>
      <c r="D31" s="12">
        <f>B31/$B$6</f>
        <v/>
      </c>
      <c r="E31" s="12">
        <f>B31/$B$6</f>
        <v/>
      </c>
      <c r="F31" s="8" t="inlineStr">
        <is>
          <t>ЦЕНЫ НЕТ. Гид, транспорт, билеты, GEM на 20 человек. Крупнейшая дыра</t>
        </is>
      </c>
    </row>
    <row r="32">
      <c r="A32" s="11" t="inlineStr">
        <is>
          <t>Перелёты Каир–Луксор и Асуан–Каир</t>
        </is>
      </c>
      <c r="B32" s="6" t="n">
        <v>0</v>
      </c>
      <c r="C32" s="2" t="inlineStr">
        <is>
          <t>на человека</t>
        </is>
      </c>
      <c r="D32" s="12">
        <f>B32*($B$6+$B$7)/$B$6</f>
        <v/>
      </c>
      <c r="E32" s="12">
        <f>B32*($B$6+$B$7)/$B$6</f>
        <v/>
      </c>
      <c r="F32" s="8" t="inlineStr">
        <is>
          <t>ЦЕНЫ НЕТ. Групповой тариф на 20 мест</t>
        </is>
      </c>
    </row>
    <row r="33">
      <c r="A33" s="11" t="inlineStr">
        <is>
          <t>Прочее: Khufu's, Абу-Симбел на месте, meet &amp; greet, чаевые вне судна, страховка</t>
        </is>
      </c>
      <c r="B33" s="6" t="n">
        <v>0</v>
      </c>
      <c r="C33" s="2" t="inlineStr">
        <is>
          <t>на человека</t>
        </is>
      </c>
      <c r="D33" s="12">
        <f>B33*($B$6+$B$7)/$B$6</f>
        <v/>
      </c>
      <c r="E33" s="12">
        <f>B33*($B$6+$B$7)/$B$6</f>
        <v/>
      </c>
      <c r="F33" s="8" t="inlineStr">
        <is>
          <t>ЦЕНЫ НЕТ</t>
        </is>
      </c>
    </row>
    <row r="34">
      <c r="A34" s="5" t="inlineStr">
        <is>
          <t>СЕБЕСТОИМОСТЬ НА ГОСТЯ</t>
        </is>
      </c>
      <c r="D34" s="13">
        <f>SUM(D17:D33)</f>
        <v/>
      </c>
      <c r="E34" s="13">
        <f>SUM(E17:E33)</f>
        <v/>
      </c>
    </row>
    <row r="35">
      <c r="A35" s="5" t="inlineStr">
        <is>
          <t>Вознаграждение La Royal</t>
        </is>
      </c>
      <c r="D35" s="12">
        <f>D34*$B$13</f>
        <v/>
      </c>
      <c r="E35" s="12">
        <f>E34*$B$13</f>
        <v/>
      </c>
    </row>
    <row r="36">
      <c r="A36" s="14" t="inlineStr">
        <is>
          <t>ЦЕНА ДЛЯ ГОСТЯ</t>
        </is>
      </c>
      <c r="D36" s="15">
        <f>D34+D35</f>
        <v/>
      </c>
      <c r="E36" s="15">
        <f>E34+E35</f>
        <v/>
      </c>
    </row>
    <row r="37">
      <c r="A37" s="2" t="inlineStr">
        <is>
          <t>Если 15 % считать долей в цене, а не наценкой</t>
        </is>
      </c>
      <c r="D37" s="16">
        <f>D34/(1-$B$13)</f>
        <v/>
      </c>
      <c r="E37" s="16">
        <f>E34/(1-$B$13)</f>
        <v/>
      </c>
    </row>
    <row r="38">
      <c r="A38" s="2" t="inlineStr">
        <is>
          <t>Разница между двумя трактовками, на гостя</t>
        </is>
      </c>
      <c r="D38" s="16">
        <f>D37-D36</f>
        <v/>
      </c>
      <c r="E38" s="16">
        <f>E37-E36</f>
        <v/>
      </c>
    </row>
    <row r="40">
      <c r="A40" s="17" t="inlineStr">
        <is>
          <t>Пока в столбце «Что уточнить» есть розовые строки, итог занижен и клиенту не называется.</t>
        </is>
      </c>
    </row>
    <row r="41">
      <c r="A41" s="17" t="inlineStr">
        <is>
          <t>Расходы команды La Royal сидят в СЕБЕСТОИМОСТИ, а не в вознаграждении. Иначе 15 % съедаются на четверть.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52" customWidth="1" min="4" max="4"/>
  </cols>
  <sheetData>
    <row r="1">
      <c r="A1" s="18" t="inlineStr">
        <is>
          <t>КОМАНДА LA ROYAL: СКОЛЬКО СТОИТ И СКОЛЬКО КАЮТ</t>
        </is>
      </c>
    </row>
    <row r="2">
      <c r="A2" s="2" t="inlineStr">
        <is>
          <t>Четыре-пять человек сопровождают группу всю поездку. Для клиента это главное отличие от турпакета, для сметы — отдельная строка.</t>
        </is>
      </c>
    </row>
    <row r="4">
      <c r="A4" s="4" t="inlineStr">
        <is>
          <t>Показатель</t>
        </is>
      </c>
      <c r="B4" s="4" t="inlineStr">
        <is>
          <t>Значение</t>
        </is>
      </c>
      <c r="C4" s="4" t="inlineStr"/>
      <c r="D4" s="4" t="inlineStr">
        <is>
          <t>Комментарий</t>
        </is>
      </c>
    </row>
    <row r="5">
      <c r="A5" s="19" t="inlineStr">
        <is>
          <t>Гостей</t>
        </is>
      </c>
      <c r="B5" s="12">
        <f>Калькулятор!$B$6</f>
        <v/>
      </c>
      <c r="D5" s="7" t="inlineStr"/>
    </row>
    <row r="6">
      <c r="A6" s="19" t="inlineStr">
        <is>
          <t>Команда La Royal</t>
        </is>
      </c>
      <c r="B6" s="12">
        <f>Калькулятор!$B$7</f>
        <v/>
      </c>
      <c r="D6" s="7" t="inlineStr"/>
    </row>
    <row r="7">
      <c r="A7" s="19" t="inlineStr">
        <is>
          <t>Всего человек в пути</t>
        </is>
      </c>
      <c r="B7" s="12">
        <f>Калькулятор!$B$6+Калькулятор!$B$7</f>
        <v/>
      </c>
      <c r="D7" s="7" t="inlineStr">
        <is>
          <t>Столько мест в самолётах и столько ртов</t>
        </is>
      </c>
    </row>
    <row r="8">
      <c r="A8" s="19" t="inlineStr">
        <is>
          <t>Кают и номеров под команду</t>
        </is>
      </c>
      <c r="B8" s="12">
        <f>ROUNDUP(Калькулятор!$B$7/Калькулятор!$B$8,0)</f>
        <v/>
      </c>
      <c r="D8" s="7" t="inlineStr">
        <is>
          <t>При размещении по двое</t>
        </is>
      </c>
    </row>
    <row r="9">
      <c r="A9" s="5" t="inlineStr">
        <is>
          <t>ВСЕГО КАЮТ НА СУДНЕ</t>
        </is>
      </c>
      <c r="B9" s="20">
        <f>Калькулятор!$B$6+ROUNDUP(Калькулятор!$B$7/Калькулятор!$B$8,0)</f>
        <v/>
      </c>
      <c r="D9" s="8" t="inlineStr">
        <is>
          <t>Гости одноместно + команда. ЭТО ТРЕБОВАНИЕ К БОРТУ</t>
        </is>
      </c>
    </row>
    <row r="10">
      <c r="A10" s="19" t="inlineStr">
        <is>
          <t>Номера: Giza Palace 2 ночи</t>
        </is>
      </c>
      <c r="B10" s="12">
        <f>ROUNDUP(Калькулятор!$B$7/Калькулятор!$B$8,0)*2*325</f>
        <v/>
      </c>
      <c r="D10" s="7" t="inlineStr"/>
    </row>
    <row r="11">
      <c r="A11" s="19" t="inlineStr">
        <is>
          <t>Номера: Луксор 1 ночь</t>
        </is>
      </c>
      <c r="B11" s="12">
        <f>ROUNDUP(Калькулятор!$B$7/Калькулятор!$B$8,0)*170</f>
        <v/>
      </c>
      <c r="D11" s="7" t="inlineStr"/>
    </row>
    <row r="12">
      <c r="A12" s="19" t="inlineStr">
        <is>
          <t>Номера: Four Seasons 1 ночь</t>
        </is>
      </c>
      <c r="B12" s="12">
        <f>ROUNDUP(Калькулятор!$B$7/Калькулятор!$B$8,0)*570</f>
        <v/>
      </c>
      <c r="D12" s="7" t="inlineStr"/>
    </row>
    <row r="13">
      <c r="A13" s="19" t="inlineStr">
        <is>
          <t>Абу-Симбел самолётом</t>
        </is>
      </c>
      <c r="B13" s="12">
        <f>Калькулятор!$B$7*470</f>
        <v/>
      </c>
      <c r="D13" s="7" t="inlineStr"/>
    </row>
    <row r="14">
      <c r="A14" s="19" t="inlineStr">
        <is>
          <t>Ужины Lucida и Four Seasons</t>
        </is>
      </c>
      <c r="B14" s="12">
        <f>Калькулятор!$B$7*400</f>
        <v/>
      </c>
      <c r="D14" s="7" t="inlineStr"/>
    </row>
    <row r="15">
      <c r="A15" s="19" t="inlineStr">
        <is>
          <t>Питание в отелях</t>
        </is>
      </c>
      <c r="B15" s="12">
        <f>Калькулятор!$B$7*200</f>
        <v/>
      </c>
      <c r="D15" s="7" t="inlineStr"/>
    </row>
    <row r="16">
      <c r="A16" s="5" t="inlineStr">
        <is>
          <t>ИТОГО расходы на команду, USD</t>
        </is>
      </c>
      <c r="B16" s="13">
        <f>SUM(B10:B15)</f>
        <v/>
      </c>
    </row>
    <row r="17">
      <c r="A17" s="5" t="inlineStr">
        <is>
          <t>На одного гостя</t>
        </is>
      </c>
      <c r="B17" s="13">
        <f>B16/Калькулятор!$B$6</f>
        <v/>
      </c>
    </row>
    <row r="19">
      <c r="A19" s="17" t="inlineStr">
        <is>
          <t>Внутренние перелёты команды сюда не входят: цены пока нет.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5" customWidth="1" min="1" max="1"/>
    <col width="58" customWidth="1" min="2" max="2"/>
    <col width="26" customWidth="1" min="3" max="3"/>
    <col width="46" customWidth="1" min="4" max="4"/>
  </cols>
  <sheetData>
    <row r="1">
      <c r="A1" s="18" t="inlineStr">
        <is>
          <t>ДЕВЯТЬ ВОПРОСОВ, БЕЗ КОТОРЫХ СЧИТАТЬ НЕЛЬЗЯ</t>
        </is>
      </c>
    </row>
    <row r="3">
      <c r="A3" s="4" t="inlineStr">
        <is>
          <t>№</t>
        </is>
      </c>
      <c r="B3" s="4" t="inlineStr">
        <is>
          <t>Вопрос</t>
        </is>
      </c>
      <c r="C3" s="4" t="inlineStr">
        <is>
          <t>Кому</t>
        </is>
      </c>
      <c r="D3" s="4" t="inlineStr">
        <is>
          <t>Сколько за этим стоит</t>
        </is>
      </c>
    </row>
    <row r="4" ht="42" customHeight="1">
      <c r="A4" s="5" t="n">
        <v>1</v>
      </c>
      <c r="B4" s="11" t="inlineStr">
        <is>
          <t>«54 500 в день» — за ночь фрахта или за календарный день? Считается ли утро высадки оплачиваемым днём?</t>
        </is>
      </c>
      <c r="C4" s="11" t="inlineStr">
        <is>
          <t>Судовой оператор</t>
        </is>
      </c>
      <c r="D4" s="21" t="inlineStr">
        <is>
          <t>54 500, то есть 3 406 на гостя</t>
        </is>
      </c>
    </row>
    <row r="5" ht="42" customHeight="1">
      <c r="A5" s="5" t="n">
        <v>2</v>
      </c>
      <c r="B5" s="11" t="inlineStr">
        <is>
          <t>18–19 кают при 16 гостях и 21 при 18. Входят ли каюты и питание 4–5 сопровождающих в цену или это доплата?</t>
        </is>
      </c>
      <c r="C5" s="11" t="inlineStr">
        <is>
          <t>Судовой оператор</t>
        </is>
      </c>
      <c r="D5" s="21" t="inlineStr">
        <is>
          <t>Определяет, какие борта вообще подходят</t>
        </is>
      </c>
    </row>
    <row r="6" ht="42" customHeight="1">
      <c r="A6" s="5" t="n">
        <v>3</v>
      </c>
      <c r="B6" s="11" t="inlineStr">
        <is>
          <t>Наземная программа 22–25 января на 20 человек: гид, транспорт, билеты, GEM</t>
        </is>
      </c>
      <c r="C6" s="11" t="inlineStr">
        <is>
          <t>Принимающая компания</t>
        </is>
      </c>
      <c r="D6" s="21" t="inlineStr">
        <is>
          <t>Позиции в смете нет вообще</t>
        </is>
      </c>
    </row>
    <row r="7" ht="42" customHeight="1">
      <c r="A7" s="5" t="n">
        <v>4</v>
      </c>
      <c r="B7" s="11" t="inlineStr">
        <is>
          <t>Групповой тариф на 20 мест: Каир — Луксор и Асуан — Каир</t>
        </is>
      </c>
      <c r="C7" s="11" t="inlineStr">
        <is>
          <t>Билетный агент / EgyptAir</t>
        </is>
      </c>
      <c r="D7" s="21" t="inlineStr">
        <is>
          <t>Три рейса × 20 мест</t>
        </is>
      </c>
    </row>
    <row r="8" ht="42" customHeight="1">
      <c r="A8" s="5" t="n">
        <v>5</v>
      </c>
      <c r="B8" s="11" t="inlineStr">
        <is>
          <t>Вместимость корзины шара; сколько корзин покрывают 2 500</t>
        </is>
      </c>
      <c r="C8" s="11" t="inlineStr">
        <is>
          <t>Оператор шара</t>
        </is>
      </c>
      <c r="D8" s="21" t="inlineStr">
        <is>
          <t>Вероятно 5 000 вместо 2 500</t>
        </is>
      </c>
    </row>
    <row r="9" ht="42" customHeight="1">
      <c r="A9" s="5" t="n">
        <v>6</v>
      </c>
      <c r="B9" s="11" t="inlineStr">
        <is>
          <t>Гиза: зоны, число человек в разрешении, длительность, съёмка; ночное дороже утреннего?</t>
        </is>
      </c>
      <c r="C9" s="11" t="inlineStr">
        <is>
          <t>Подрядчик спецдоступов</t>
        </is>
      </c>
      <c r="D9" s="21" t="inlineStr">
        <is>
          <t>7 000 за два посещения</t>
        </is>
      </c>
    </row>
    <row r="10" ht="42" customHeight="1">
      <c r="A10" s="5" t="n">
        <v>7</v>
      </c>
      <c r="B10" s="11" t="inlineStr">
        <is>
          <t>Four Seasons и Lucida: 250 и 150 — net или ++? Минимальный счёт за приватную зону?</t>
        </is>
      </c>
      <c r="C10" s="11" t="inlineStr">
        <is>
          <t>Отели и ресторан</t>
        </is>
      </c>
      <c r="D10" s="21" t="inlineStr">
        <is>
          <t>Около 1 800 на группу</t>
        </is>
      </c>
    </row>
    <row r="11" ht="42" customHeight="1">
      <c r="A11" s="5" t="n">
        <v>8</v>
      </c>
      <c r="B11" s="11" t="inlineStr">
        <is>
          <t>Филе: фиксируем курс? Входит ли лодка от Шеллала? Цена ужина на острове?</t>
        </is>
      </c>
      <c r="C11" s="11" t="inlineStr">
        <is>
          <t>Мара, Egypt &amp; Africa Travel</t>
        </is>
      </c>
      <c r="D11" s="21" t="inlineStr">
        <is>
          <t>Разброс 1 100 плюс неизвестная</t>
        </is>
      </c>
    </row>
    <row r="12" ht="42" customHeight="1">
      <c r="A12" s="5" t="n">
        <v>9</v>
      </c>
      <c r="B12" s="11" t="inlineStr">
        <is>
          <t>Групповой блок номеров на январь: Giza Palace и Steigenberger</t>
        </is>
      </c>
      <c r="C12" s="11" t="inlineStr">
        <is>
          <t>Отделы продаж отелей</t>
        </is>
      </c>
      <c r="D12" s="21" t="inlineStr">
        <is>
          <t>Наши 325 и 170 — из интернета, ±30 %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2026-09-20T19:27:28Z</dcterms:created>
  <dcterms:modified xmlns:dcterms="http://purl.org/dc/terms/" xmlns:xsi="http://www.w3.org/2001/XMLSchema-instance" xsi:type="dcterms:W3CDTF">2026-09-20T19:27:28Z</dcterms:modified>
</cp:coreProperties>
</file>