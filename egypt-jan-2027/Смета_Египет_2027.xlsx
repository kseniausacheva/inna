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Только перелёт. Билеты и транспорт на месте — отдельно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Four Seasons Cairo, ночь</t>
        </is>
      </c>
      <c r="B22" s="6" t="n">
        <v>570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Названо отелем, все налоги включены</t>
        </is>
      </c>
    </row>
    <row r="23">
      <c r="A23" s="11" t="inlineStr">
        <is>
          <t>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 или руфтоп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Абу-Симбел на месте, meet &amp; greet, чаевые вне судна, страховка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КОМАНДА LA ROYAL</t>
        </is>
      </c>
      <c r="B32" s="12">
        <f>Команда!$B$22</f>
        <v/>
      </c>
      <c r="C32" s="2" t="inlineStr">
        <is>
          <t>за группу</t>
        </is>
      </c>
      <c r="D32" s="12">
        <f>B32*Команда!$B$24/$B$6</f>
        <v/>
      </c>
      <c r="E32" s="12">
        <f>B32*Команда!$B$24/$B$6</f>
        <v/>
      </c>
      <c r="F32" s="7" t="inlineStr">
        <is>
          <t>Переключатель «в себестоимость / из вознаграждения» — на листе «Команда»</t>
        </is>
      </c>
    </row>
    <row r="33">
      <c r="A33" s="5" t="inlineStr">
        <is>
          <t>СЕБЕСТОИМОСТЬ НА ГОСТЯ</t>
        </is>
      </c>
      <c r="D33" s="13">
        <f>SUM(D15:D32)</f>
        <v/>
      </c>
      <c r="E33" s="13">
        <f>SUM(E15:E32)</f>
        <v/>
      </c>
    </row>
    <row r="34">
      <c r="A34" s="5" t="inlineStr">
        <is>
          <t>Вознаграждение La Royal</t>
        </is>
      </c>
      <c r="D34" s="12">
        <f>D33*$B$11</f>
        <v/>
      </c>
      <c r="E34" s="12">
        <f>E33*$B$11</f>
        <v/>
      </c>
    </row>
    <row r="35">
      <c r="A35" s="14" t="inlineStr">
        <is>
          <t>ЦЕНА ДЛЯ ГОСТЯ</t>
        </is>
      </c>
      <c r="D35" s="15">
        <f>D33+D34</f>
        <v/>
      </c>
      <c r="E35" s="15">
        <f>E33+E34</f>
        <v/>
      </c>
    </row>
    <row r="36">
      <c r="A36" s="2" t="inlineStr">
        <is>
          <t>Вознаграждение со всей группы</t>
        </is>
      </c>
      <c r="D36" s="16">
        <f>D34*$B$6-Команда!$B$22*(1-Команда!$B$24)</f>
        <v/>
      </c>
      <c r="E36" s="16">
        <f>E34*$B$6-Команда!$B$22*(1-Команда!$B$24)</f>
        <v/>
      </c>
      <c r="F36" s="2" t="inlineStr">
        <is>
          <t>Если команда идёт из вознаграждения, её расходы вычитаются здесь</t>
        </is>
      </c>
    </row>
    <row r="37">
      <c r="A37" s="2" t="inlineStr">
        <is>
          <t>Если 15 % считать долей в цене, а не наценкой</t>
        </is>
      </c>
      <c r="D37" s="17">
        <f>D33/(1-$B$11)</f>
        <v/>
      </c>
      <c r="E37" s="17">
        <f>E33/(1-$B$11)</f>
        <v/>
      </c>
    </row>
    <row r="38">
      <c r="A38" s="2" t="inlineStr">
        <is>
          <t>Разница между двумя трактовками, на гостя</t>
        </is>
      </c>
      <c r="D38" s="17">
        <f>D37-D35</f>
        <v/>
      </c>
      <c r="E38" s="17">
        <f>E37-E35</f>
        <v/>
      </c>
    </row>
    <row r="40">
      <c r="A40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Ужин в Four Seasons: 250 — net или ++? Минимальный счёт за приватную зону сверх меню?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2026-09-20T19:35:50Z</dcterms:created>
  <dcterms:modified xmlns:dcterms="http://purl.org/dc/terms/" xmlns:xsi="http://www.w3.org/2001/XMLSchema-instance" xsi:type="dcterms:W3CDTF">2026-09-20T19:35:50Z</dcterms:modified>
</cp:coreProperties>
</file>