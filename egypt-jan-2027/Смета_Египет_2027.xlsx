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ПОДТВЕРЖДЕНО: персональное разрешение, доступ во все зоны. Нужно два</t>
        </is>
      </c>
    </row>
    <row r="19">
      <c r="A19" s="11" t="inlineStr">
        <is>
          <t>Абу-Симбел самолётом</t>
        </is>
      </c>
      <c r="B19" s="6" t="n">
        <v>470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Обязательная часть для всех. Альтернатива по земле — см. лист «Абу-Симбел»</t>
        </is>
      </c>
    </row>
    <row r="20">
      <c r="A20" s="11" t="inlineStr">
        <is>
          <t>Giza Palace, ночь</t>
        </is>
      </c>
      <c r="B20" s="6" t="n">
        <v>325</v>
      </c>
      <c r="C20" s="2" t="inlineStr">
        <is>
          <t>за номер за ночь</t>
        </is>
      </c>
      <c r="D20" s="12">
        <f>B20*2</f>
        <v/>
      </c>
      <c r="E20" s="12">
        <f>B20*2</f>
        <v/>
      </c>
      <c r="F20" s="7" t="inlineStr">
        <is>
          <t>Две ночи. Открытые источники 222–349. Запросить групповой тариф</t>
        </is>
      </c>
    </row>
    <row r="21">
      <c r="A21" s="11" t="inlineStr">
        <is>
          <t>Steigenberger Nile Palace, ночь</t>
        </is>
      </c>
      <c r="B21" s="6" t="n">
        <v>170</v>
      </c>
      <c r="C21" s="2" t="inlineStr">
        <is>
          <t>за номер за ночь</t>
        </is>
      </c>
      <c r="D21" s="12">
        <f>B21</f>
        <v/>
      </c>
      <c r="E21" s="12">
        <f>B21</f>
        <v/>
      </c>
      <c r="F21" s="7" t="inlineStr">
        <is>
          <t>Открытые источники 120–176. Запросить групповой тариф</t>
        </is>
      </c>
    </row>
    <row r="22">
      <c r="A22" s="11" t="inlineStr">
        <is>
          <t>Отель 29 января: Асуан (A) / Four Seasons 30-го (B)</t>
        </is>
      </c>
      <c r="B22" s="6" t="n">
        <v>250</v>
      </c>
      <c r="C22" s="2" t="inlineStr">
        <is>
          <t>на гостя</t>
        </is>
      </c>
      <c r="D22" s="12">
        <f>B22</f>
        <v/>
      </c>
      <c r="E22" s="12">
        <f>570</f>
        <v/>
      </c>
      <c r="F22" s="7" t="inlineStr">
        <is>
          <t>A: остров Элефантина, открытые источники 140–330. B: Four Seasons, 570 названо отелем</t>
        </is>
      </c>
    </row>
    <row r="23">
      <c r="A23" s="11" t="inlineStr">
        <is>
          <t>Прощальный ужин в Four Seasons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0</f>
        <v/>
      </c>
      <c r="F23" s="7" t="inlineStr">
        <is>
          <t>Net или ++? С надбавками 319. Только вариант A</t>
        </is>
      </c>
    </row>
    <row r="24">
      <c r="A24" s="11" t="inlineStr">
        <is>
          <t>Ужин в Lucida</t>
        </is>
      </c>
      <c r="B24" s="6" t="n">
        <v>150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ПОДТВЕРЖДЕНО: 150 без алкоголя</t>
        </is>
      </c>
    </row>
    <row r="25">
      <c r="A25" s="11" t="inlineStr">
        <is>
          <t>Питание в отелях вне названных ресторанов</t>
        </is>
      </c>
      <c r="B25" s="6" t="n">
        <v>200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Наша оценка на всю поездку: ужин 40–60, обед 25–35</t>
        </is>
      </c>
    </row>
    <row r="26">
      <c r="A26" s="11" t="inlineStr">
        <is>
          <t>Полёт на шаре, две корзины</t>
        </is>
      </c>
      <c r="B26" s="6" t="n">
        <v>5000</v>
      </c>
      <c r="C26" s="2" t="inlineStr">
        <is>
          <t>за все корзины</t>
        </is>
      </c>
      <c r="D26" s="12">
        <f>B26/$B$6</f>
        <v/>
      </c>
      <c r="E26" s="12">
        <f>B26/$B$6</f>
        <v/>
      </c>
      <c r="F26" s="7" t="inlineStr">
        <is>
          <t>ПОДТВЕРЖДЕНО: две корзины, по 8 человек</t>
        </is>
      </c>
    </row>
    <row r="27">
      <c r="A27" s="11" t="inlineStr">
        <is>
          <t>Нубийский ансамбль</t>
        </is>
      </c>
      <c r="B27" s="6" t="n">
        <v>650</v>
      </c>
      <c r="C27" s="2" t="inlineStr">
        <is>
          <t>за вечер</t>
        </is>
      </c>
      <c r="D27" s="12">
        <f>B27/$B$6</f>
        <v/>
      </c>
      <c r="E27" s="12">
        <f>B27/$B$6</f>
        <v/>
      </c>
      <c r="F27" s="7" t="inlineStr">
        <is>
          <t>Наша оценка 400–900. Публичных прайсов нет</t>
        </is>
      </c>
    </row>
    <row r="28">
      <c r="A28" s="11" t="inlineStr">
        <is>
          <t>Гала-ужин на борту, вариант B</t>
        </is>
      </c>
      <c r="B28" s="6" t="n">
        <v>0</v>
      </c>
      <c r="C28" s="2" t="inlineStr">
        <is>
          <t>за группу</t>
        </is>
      </c>
      <c r="D28" s="12">
        <f>0</f>
        <v/>
      </c>
      <c r="E28" s="12">
        <f>B28/$B$6</f>
        <v/>
      </c>
      <c r="F28" s="8" t="inlineStr">
        <is>
          <t>ЦЕНЫ НЕТ. Меню, декор, музыка сверх пансиона</t>
        </is>
      </c>
    </row>
    <row r="29">
      <c r="A29" s="11" t="inlineStr">
        <is>
          <t>Наземная программа 22–25 января</t>
        </is>
      </c>
      <c r="B29" s="6" t="n">
        <v>0</v>
      </c>
      <c r="C29" s="2" t="inlineStr">
        <is>
          <t>за группу</t>
        </is>
      </c>
      <c r="D29" s="12">
        <f>B29/$B$6</f>
        <v/>
      </c>
      <c r="E29" s="12">
        <f>B29/$B$6</f>
        <v/>
      </c>
      <c r="F29" s="8" t="inlineStr">
        <is>
          <t>ЦЕНЫ НЕТ. Гид, транспорт, билеты, GEM. Крупнейшая дыра в смете</t>
        </is>
      </c>
    </row>
    <row r="30">
      <c r="A30" s="11" t="inlineStr">
        <is>
          <t>Перелёты Каир–Луксор и Асуан–Каир</t>
        </is>
      </c>
      <c r="B30" s="6" t="n">
        <v>250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7" t="inlineStr">
        <is>
          <t>ОЦЕНКА по открытым источникам: 140 + 110. Групповой тариф запрошен</t>
        </is>
      </c>
    </row>
    <row r="31">
      <c r="A31" s="11" t="inlineStr">
        <is>
          <t>Прочее: Khufu's, meet &amp; greet, fast track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8" t="inlineStr">
        <is>
          <t>ЦЕНЫ НЕТ</t>
        </is>
      </c>
    </row>
    <row r="32">
      <c r="A32" s="11" t="inlineStr">
        <is>
          <t>Резерв на решения на месте</t>
        </is>
      </c>
      <c r="B32" s="6" t="n">
        <v>0</v>
      </c>
      <c r="C32" s="2" t="inlineStr">
        <is>
          <t>на гостя</t>
        </is>
      </c>
      <c r="D32" s="12">
        <f>B32</f>
        <v/>
      </c>
      <c r="E32" s="12">
        <f>B32</f>
        <v/>
      </c>
      <c r="F32" s="7" t="inlineStr">
        <is>
          <t>НЕ ЗАЛОЖЕН. Обычно 2–3 % от сметы. Ваше решение</t>
        </is>
      </c>
    </row>
    <row r="33">
      <c r="A33" s="11" t="inlineStr">
        <is>
          <t>ПРОПУЩЕННЫЕ СТАТЬИ — итог с листа «Пропущено»</t>
        </is>
      </c>
      <c r="B33" s="12">
        <f>Пропущено!$B$19</f>
        <v/>
      </c>
      <c r="C33" s="2" t="inlineStr">
        <is>
          <t>за группу</t>
        </is>
      </c>
      <c r="D33" s="12">
        <f>B33/$B$6</f>
        <v/>
      </c>
      <c r="E33" s="12">
        <f>B33/$B$6</f>
        <v/>
      </c>
      <c r="F33" s="7" t="inlineStr">
        <is>
          <t>Двенадцать позиций, найденных при сверке. Пока нули</t>
        </is>
      </c>
    </row>
    <row r="34">
      <c r="A34" s="11" t="inlineStr">
        <is>
          <t>КОМАНДА LA ROYAL</t>
        </is>
      </c>
      <c r="B34" s="12">
        <f>Команда!$B$22</f>
        <v/>
      </c>
      <c r="C34" s="2" t="inlineStr">
        <is>
          <t>за группу</t>
        </is>
      </c>
      <c r="D34" s="12">
        <f>B34*Команда!$B$24/$B$6</f>
        <v/>
      </c>
      <c r="E34" s="12">
        <f>B34*Команда!$B$24/$B$6</f>
        <v/>
      </c>
      <c r="F34" s="7" t="inlineStr">
        <is>
          <t>Переключатель «в себестоимость / из вознаграждения» — на листе «Команда»</t>
        </is>
      </c>
    </row>
    <row r="35">
      <c r="A35" s="5" t="inlineStr">
        <is>
          <t>СЕБЕСТОИМОСТЬ НА ГОСТЯ</t>
        </is>
      </c>
      <c r="D35" s="13">
        <f>SUM(D15:D34)</f>
        <v/>
      </c>
      <c r="E35" s="13">
        <f>SUM(E15:E34)</f>
        <v/>
      </c>
    </row>
    <row r="36">
      <c r="A36" s="5" t="inlineStr">
        <is>
          <t>Вознаграждение La Royal</t>
        </is>
      </c>
      <c r="D36" s="12">
        <f>D35*$B$11</f>
        <v/>
      </c>
      <c r="E36" s="12">
        <f>E35*$B$11</f>
        <v/>
      </c>
    </row>
    <row r="37">
      <c r="A37" s="14" t="inlineStr">
        <is>
          <t>ЦЕНА ДЛЯ ГОСТЯ</t>
        </is>
      </c>
      <c r="D37" s="15">
        <f>D35+D36</f>
        <v/>
      </c>
      <c r="E37" s="15">
        <f>E35+E36</f>
        <v/>
      </c>
    </row>
    <row r="38">
      <c r="A38" s="2" t="inlineStr">
        <is>
          <t>Вознаграждение со всей группы</t>
        </is>
      </c>
      <c r="D38" s="16">
        <f>D36*$B$6-Команда!$B$22*(1-Команда!$B$24)</f>
        <v/>
      </c>
      <c r="E38" s="16">
        <f>E36*$B$6-Команда!$B$22*(1-Команда!$B$24)</f>
        <v/>
      </c>
      <c r="F38" s="2" t="inlineStr">
        <is>
          <t>Если команда идёт из вознаграждения, её расходы вычитаются здесь</t>
        </is>
      </c>
    </row>
    <row r="39">
      <c r="A39" s="2" t="inlineStr">
        <is>
          <t>Если 15 % считать долей в цене, а не наценкой</t>
        </is>
      </c>
      <c r="D39" s="17">
        <f>D35/(1-$B$11)</f>
        <v/>
      </c>
      <c r="E39" s="17">
        <f>E35/(1-$B$11)</f>
        <v/>
      </c>
    </row>
    <row r="40">
      <c r="A40" s="2" t="inlineStr">
        <is>
          <t>Разница между двумя трактовками, на гостя</t>
        </is>
      </c>
      <c r="D40" s="17">
        <f>D39-D37</f>
        <v/>
      </c>
      <c r="E40" s="17">
        <f>E39-E37</f>
        <v/>
      </c>
    </row>
    <row r="42">
      <c r="A42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 Lucida и Four Seasons</t>
        </is>
      </c>
      <c r="B19" s="12">
        <f>$B$7*400</f>
        <v/>
      </c>
      <c r="D19" s="7" t="inlineStr">
        <is>
          <t>150 + 250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2026-09-21T05:54:19Z</dcterms:created>
  <dcterms:modified xmlns:dcterms="http://purl.org/dc/terms/" xmlns:xsi="http://www.w3.org/2001/XMLSchema-instance" xsi:type="dcterms:W3CDTF">2026-09-21T05:54:19Z</dcterms:modified>
</cp:coreProperties>
</file>