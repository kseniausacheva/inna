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Чувствительность" sheetId="2" state="visible" r:id="rId2"/>
    <sheet xmlns:r="http://schemas.openxmlformats.org/officeDocument/2006/relationships" name="Вопросы поставщик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</fonts>
  <fills count="7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EFECFB"/>
      </patternFill>
    </fill>
    <fill>
      <patternFill patternType="solid">
        <fgColor rgb="00FBF0FB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164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4" borderId="1" pivotButton="0" quotePrefix="0" xfId="0"/>
    <xf numFmtId="0" fontId="2" fillId="5" borderId="0" applyAlignment="1" pivotButton="0" quotePrefix="0" xfId="0">
      <alignment vertical="top" wrapText="1"/>
    </xf>
    <xf numFmtId="3" fontId="5" fillId="6" borderId="1" pivotButton="0" quotePrefix="0" xfId="0"/>
    <xf numFmtId="9" fontId="0" fillId="3" borderId="1" pivotButton="0" quotePrefix="0" xfId="0"/>
    <xf numFmtId="0" fontId="6" fillId="0" borderId="0" pivotButton="0" quotePrefix="0" xfId="0"/>
    <xf numFmtId="3" fontId="7" fillId="6" borderId="1" pivotButton="0" quotePrefix="0" xfId="0"/>
    <xf numFmtId="0" fontId="8" fillId="0" borderId="0" pivotButton="0" quotePrefix="0" xfId="0"/>
    <xf numFmtId="0" fontId="9" fillId="0" borderId="0" pivotButton="0" quotePrefix="0" xfId="0"/>
    <xf numFmtId="3" fontId="0" fillId="5" borderId="1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3" customWidth="1" min="5" max="5"/>
    <col width="52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Жёлтые ячейки меняем руками. Всё остальное считается формулами. Цены названы поставщиками устно и требуют письменного подтверждения.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Число гостей</t>
        </is>
      </c>
      <c r="B6" s="6" t="n">
        <v>16</v>
      </c>
      <c r="C6" t="inlineStr">
        <is>
          <t>чел</t>
        </is>
      </c>
      <c r="F6" s="7" t="inlineStr">
        <is>
          <t>Фрахт делится на это число</t>
        </is>
      </c>
    </row>
    <row r="7">
      <c r="A7" s="5" t="inlineStr">
        <is>
          <t>Дней фрахта, вариант A</t>
        </is>
      </c>
      <c r="B7" s="6" t="n">
        <v>4</v>
      </c>
      <c r="C7" t="inlineStr">
        <is>
          <t>дней</t>
        </is>
      </c>
      <c r="F7" s="7" t="inlineStr">
        <is>
          <t>25–29 января, четыре ночи</t>
        </is>
      </c>
    </row>
    <row r="8">
      <c r="A8" s="5" t="inlineStr">
        <is>
          <t>Дней фрахта, вариант B</t>
        </is>
      </c>
      <c r="B8" s="6" t="n">
        <v>5</v>
      </c>
      <c r="C8" t="inlineStr">
        <is>
          <t>дней</t>
        </is>
      </c>
      <c r="F8" s="7" t="inlineStr">
        <is>
          <t>25–30 января, пять ночей</t>
        </is>
      </c>
    </row>
    <row r="9">
      <c r="A9" s="5" t="inlineStr">
        <is>
          <t>Цена фрахта за день, USD</t>
        </is>
      </c>
      <c r="B9" s="6" t="n">
        <v>54500</v>
      </c>
      <c r="C9" t="inlineStr">
        <is>
          <t>USD</t>
        </is>
      </c>
      <c r="F9" s="7" t="inlineStr">
        <is>
          <t>ВКЛЮЧАЕТ налоги, чаевые, питание, напитки, гида, билеты — со слов оператора</t>
        </is>
      </c>
    </row>
    <row r="10">
      <c r="A10" s="5" t="inlineStr">
        <is>
          <t>Курс EUR/USD</t>
        </is>
      </c>
      <c r="B10" s="8" t="n">
        <v>1.1489</v>
      </c>
      <c r="C10" t="inlineStr"/>
      <c r="F10" s="7" t="inlineStr">
        <is>
          <t>Курс на 20.09.2026. На дату платежа будет другим</t>
        </is>
      </c>
    </row>
    <row r="12">
      <c r="A12" s="3" t="inlineStr">
        <is>
          <t>РАСЧЁТ ПО НАЗВАННЫМ ЦЕНАМ</t>
        </is>
      </c>
    </row>
    <row r="13">
      <c r="A13" s="4" t="inlineStr">
        <is>
          <t>Статья</t>
        </is>
      </c>
      <c r="B13" s="4" t="inlineStr">
        <is>
          <t>Цена</t>
        </is>
      </c>
      <c r="C13" s="4" t="inlineStr">
        <is>
          <t>Единица</t>
        </is>
      </c>
      <c r="D13" s="4" t="inlineStr">
        <is>
          <t>Вариант A, на гостя</t>
        </is>
      </c>
      <c r="E13" s="4" t="inlineStr">
        <is>
          <t>Вариант B, на гостя</t>
        </is>
      </c>
      <c r="F13" s="4" t="inlineStr">
        <is>
          <t>Что уточнить</t>
        </is>
      </c>
    </row>
    <row r="14">
      <c r="A14" s="9" t="inlineStr">
        <is>
          <t>Фрахт судна</t>
        </is>
      </c>
      <c r="B14" s="10">
        <f>$B$9</f>
        <v/>
      </c>
      <c r="C14" s="2" t="inlineStr">
        <is>
          <t>за день</t>
        </is>
      </c>
      <c r="D14" s="10">
        <f>$B$9*$B$7/$B$6</f>
        <v/>
      </c>
      <c r="E14" s="10">
        <f>$B$9*$B$8/$B$6</f>
        <v/>
      </c>
      <c r="F14" s="7" t="inlineStr">
        <is>
          <t>«В день» — за ночь фрахта или за календарный день? Разница 54 500</t>
        </is>
      </c>
    </row>
    <row r="15">
      <c r="A15" s="9" t="inlineStr">
        <is>
          <t>Филе: приватный визит и показ</t>
        </is>
      </c>
      <c r="B15" s="6" t="n">
        <v>15000</v>
      </c>
      <c r="C15" s="2" t="inlineStr">
        <is>
          <t>EUR за группу</t>
        </is>
      </c>
      <c r="D15" s="10">
        <f>B15*$B$10/$B$6</f>
        <v/>
      </c>
      <c r="E15" s="10">
        <f>B15*$B$10/$B$6</f>
        <v/>
      </c>
      <c r="F15" s="7" t="inlineStr">
        <is>
          <t>Договор в евро. Входит ли моторная лодка от Шеллала</t>
        </is>
      </c>
    </row>
    <row r="16">
      <c r="A16" s="9" t="inlineStr">
        <is>
          <t>Ужин на острове Филе</t>
        </is>
      </c>
      <c r="B16" s="6" t="n">
        <v>0</v>
      </c>
      <c r="C16" s="2" t="inlineStr">
        <is>
          <t>за группу</t>
        </is>
      </c>
      <c r="D16" s="10">
        <f>B16/$B$6</f>
        <v/>
      </c>
      <c r="E16" s="10">
        <f>B16/$B$6</f>
        <v/>
      </c>
      <c r="F16" s="11" t="inlineStr">
        <is>
          <t>ЦЕНА НЕ НАЗВАНА. Плюсом к 15 000 EUR. Запросить у Мары</t>
        </is>
      </c>
    </row>
    <row r="17">
      <c r="A17" s="9" t="inlineStr">
        <is>
          <t>Гиза: приватный доступ, одно посещение</t>
        </is>
      </c>
      <c r="B17" s="6" t="n">
        <v>3500</v>
      </c>
      <c r="C17" s="2" t="inlineStr">
        <is>
          <t>за посещение</t>
        </is>
      </c>
      <c r="D17" s="10">
        <f>B17*2/$B$6</f>
        <v/>
      </c>
      <c r="E17" s="10">
        <f>B17*2/$B$6</f>
        <v/>
      </c>
      <c r="F17" s="7" t="inlineStr">
        <is>
          <t>Нужно ДВА: до открытия и ночью. Ночное может стоить дороже</t>
        </is>
      </c>
    </row>
    <row r="18">
      <c r="A18" s="9" t="inlineStr">
        <is>
          <t>Ужин в Four Seasons</t>
        </is>
      </c>
      <c r="B18" s="6" t="n">
        <v>250</v>
      </c>
      <c r="C18" s="2" t="inlineStr">
        <is>
          <t>на человека</t>
        </is>
      </c>
      <c r="D18" s="10">
        <f>B18</f>
        <v/>
      </c>
      <c r="E18" s="10">
        <f>0</f>
        <v/>
      </c>
      <c r="F18" s="7" t="inlineStr">
        <is>
          <t>Net или ++? С 12% сервиса и 14% НДС будет 319. Только вариант A</t>
        </is>
      </c>
    </row>
    <row r="19">
      <c r="A19" s="9" t="inlineStr">
        <is>
          <t>Ужин в Lucida или руфтоп</t>
        </is>
      </c>
      <c r="B19" s="6" t="n">
        <v>150</v>
      </c>
      <c r="C19" s="2" t="inlineStr">
        <is>
          <t>на человека</t>
        </is>
      </c>
      <c r="D19" s="10">
        <f>B19</f>
        <v/>
      </c>
      <c r="E19" s="10">
        <f>B19</f>
        <v/>
      </c>
      <c r="F19" s="7" t="inlineStr">
        <is>
          <t>Net или ++? С надбавками будет 192</t>
        </is>
      </c>
    </row>
    <row r="20">
      <c r="A20" s="9" t="inlineStr">
        <is>
          <t>Полёт на шаре</t>
        </is>
      </c>
      <c r="B20" s="6" t="n">
        <v>2500</v>
      </c>
      <c r="C20" s="2" t="inlineStr">
        <is>
          <t>за корзину</t>
        </is>
      </c>
      <c r="D20" s="10">
        <f>B20/$B$6</f>
        <v/>
      </c>
      <c r="E20" s="10">
        <f>B20/$B$6</f>
        <v/>
      </c>
      <c r="F20" s="7" t="inlineStr">
        <is>
          <t>Корзина вмещает 8–12. На 16 гостей, вероятно, нужны ДВЕ</t>
        </is>
      </c>
    </row>
    <row r="21">
      <c r="A21" s="9" t="inlineStr">
        <is>
          <t>Гала-ужин на борту, вариант B</t>
        </is>
      </c>
      <c r="B21" s="6" t="n">
        <v>0</v>
      </c>
      <c r="C21" s="2" t="inlineStr">
        <is>
          <t>за группу</t>
        </is>
      </c>
      <c r="D21" s="10">
        <f>0</f>
        <v/>
      </c>
      <c r="E21" s="10">
        <f>B21/$B$6</f>
        <v/>
      </c>
      <c r="F21" s="11" t="inlineStr">
        <is>
          <t>ЦЕНА НЕ НАЗВАНА. Меню, декор, музыка сверх пансиона</t>
        </is>
      </c>
    </row>
    <row r="22">
      <c r="A22" s="9" t="inlineStr">
        <is>
          <t>Наземная программа 22–25 января</t>
        </is>
      </c>
      <c r="B22" s="6" t="n">
        <v>0</v>
      </c>
      <c r="C22" s="2" t="inlineStr">
        <is>
          <t>за группу</t>
        </is>
      </c>
      <c r="D22" s="10">
        <f>B22/$B$6</f>
        <v/>
      </c>
      <c r="E22" s="10">
        <f>B22/$B$6</f>
        <v/>
      </c>
      <c r="F22" s="11" t="inlineStr">
        <is>
          <t>ЦЕНА НЕ НАЗВАНА. Гид, транспорт, билеты, GEM до посадки на судно</t>
        </is>
      </c>
    </row>
    <row r="23">
      <c r="A23" s="9" t="inlineStr">
        <is>
          <t>Отели: Giza Palace, Steigenberger, Four Seasons</t>
        </is>
      </c>
      <c r="B23" s="6" t="n">
        <v>0</v>
      </c>
      <c r="C23" s="2" t="inlineStr">
        <is>
          <t>за группу</t>
        </is>
      </c>
      <c r="D23" s="10">
        <f>B23/$B$6</f>
        <v/>
      </c>
      <c r="E23" s="10">
        <f>B23/$B$6</f>
        <v/>
      </c>
      <c r="F23" s="11" t="inlineStr">
        <is>
          <t>ЦЕНА НЕ НАЗВАНА. 18 номеров × 4 ночи суммарно</t>
        </is>
      </c>
    </row>
    <row r="24">
      <c r="A24" s="9" t="inlineStr">
        <is>
          <t>Внутренние перелёты</t>
        </is>
      </c>
      <c r="B24" s="6" t="n">
        <v>0</v>
      </c>
      <c r="C24" s="2" t="inlineStr">
        <is>
          <t>на человека</t>
        </is>
      </c>
      <c r="D24" s="10">
        <f>B24</f>
        <v/>
      </c>
      <c r="E24" s="10">
        <f>B24</f>
        <v/>
      </c>
      <c r="F24" s="11" t="inlineStr">
        <is>
          <t>ЦЕНА НЕ НАЗВАНА. CAI–LXR, ASW–ABS–ASW, ASW–CAI</t>
        </is>
      </c>
    </row>
    <row r="25">
      <c r="A25" s="9" t="inlineStr">
        <is>
          <t>Прочее: Khufu's, Абу-Симбел на месте, meet &amp; greet, чаевые вне судна</t>
        </is>
      </c>
      <c r="B25" s="6" t="n">
        <v>0</v>
      </c>
      <c r="C25" s="2" t="inlineStr">
        <is>
          <t>на человека</t>
        </is>
      </c>
      <c r="D25" s="10">
        <f>B25</f>
        <v/>
      </c>
      <c r="E25" s="10">
        <f>B25</f>
        <v/>
      </c>
      <c r="F25" s="11" t="inlineStr">
        <is>
          <t>ЦЕНА НЕ НАЗВАНА</t>
        </is>
      </c>
    </row>
    <row r="26">
      <c r="A26" s="5" t="inlineStr">
        <is>
          <t>СЕБЕСТОИМОСТЬ НА ГОСТЯ</t>
        </is>
      </c>
      <c r="D26" s="12">
        <f>SUM(D14:D25)</f>
        <v/>
      </c>
      <c r="E26" s="12">
        <f>SUM(E14:E25)</f>
        <v/>
      </c>
    </row>
    <row r="27">
      <c r="A27" s="5" t="inlineStr">
        <is>
          <t>Вознаграждение La Royal, %</t>
        </is>
      </c>
      <c r="B27" s="13" t="n">
        <v>0.15</v>
      </c>
      <c r="D27" s="10">
        <f>D26*$B$27</f>
        <v/>
      </c>
      <c r="E27" s="10">
        <f>E26*$B$27</f>
        <v/>
      </c>
    </row>
    <row r="28">
      <c r="A28" s="14" t="inlineStr">
        <is>
          <t>ЦЕНА ДЛЯ КЛИЕНТА НА ГОСТЯ</t>
        </is>
      </c>
      <c r="D28" s="15">
        <f>D26+D27</f>
        <v/>
      </c>
      <c r="E28" s="15">
        <f>E26+E27</f>
        <v/>
      </c>
    </row>
    <row r="30">
      <c r="A30" s="16" t="inlineStr">
        <is>
          <t>ВНИМАНИЕ: 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7" t="inlineStr">
        <is>
          <t>КАК ЦЕНА МЕНЯЕТСЯ ОТ ЧИСЛА ГОСТЕЙ</t>
        </is>
      </c>
    </row>
    <row r="2">
      <c r="A2" s="2" t="inlineStr">
        <is>
          <t>Только по названным ценам. Фрахт — фиксированная сумма, поэтому каждый недобравшийся гость дорожает поездку для остальных.</t>
        </is>
      </c>
    </row>
    <row r="4">
      <c r="A4" s="4" t="inlineStr">
        <is>
          <t>Число гостей</t>
        </is>
      </c>
      <c r="B4" s="4" t="inlineStr">
        <is>
          <t>14</t>
        </is>
      </c>
      <c r="C4" s="4" t="inlineStr">
        <is>
          <t>16</t>
        </is>
      </c>
      <c r="D4" s="4" t="inlineStr">
        <is>
          <t>18</t>
        </is>
      </c>
      <c r="E4" s="4" t="inlineStr"/>
    </row>
    <row r="5">
      <c r="A5" t="inlineStr">
        <is>
          <t>Фрахт, вариант A</t>
        </is>
      </c>
      <c r="B5" s="10">
        <f>Калькулятор!$B$9*Калькулятор!$B$7/14</f>
        <v/>
      </c>
      <c r="C5" s="10">
        <f>Калькулятор!$B$9*Калькулятор!$B$7/16</f>
        <v/>
      </c>
      <c r="D5" s="10">
        <f>Калькулятор!$B$9*Калькулятор!$B$7/18</f>
        <v/>
      </c>
    </row>
    <row r="6">
      <c r="A6" t="inlineStr">
        <is>
          <t>Фрахт, вариант B</t>
        </is>
      </c>
      <c r="B6" s="10">
        <f>Калькулятор!$B$9*Калькулятор!$B$8/14</f>
        <v/>
      </c>
      <c r="C6" s="10">
        <f>Калькулятор!$B$9*Калькулятор!$B$8/16</f>
        <v/>
      </c>
      <c r="D6" s="10">
        <f>Калькулятор!$B$9*Калькулятор!$B$8/18</f>
        <v/>
      </c>
    </row>
    <row r="7">
      <c r="A7" t="inlineStr">
        <is>
          <t>Филе, визит и показ</t>
        </is>
      </c>
      <c r="B7" s="10">
        <f>15000*Калькулятор!$B$10/14</f>
        <v/>
      </c>
      <c r="C7" s="10">
        <f>15000*Калькулятор!$B$10/16</f>
        <v/>
      </c>
      <c r="D7" s="10">
        <f>15000*Калькулятор!$B$10/18</f>
        <v/>
      </c>
    </row>
    <row r="8">
      <c r="A8" t="inlineStr">
        <is>
          <t>Гиза, два посещения</t>
        </is>
      </c>
      <c r="B8" s="10">
        <f>7000/14</f>
        <v/>
      </c>
      <c r="C8" s="10">
        <f>7000/16</f>
        <v/>
      </c>
      <c r="D8" s="10">
        <f>7000/18</f>
        <v/>
      </c>
    </row>
    <row r="9">
      <c r="A9" t="inlineStr">
        <is>
          <t>Шар, одна корзина</t>
        </is>
      </c>
      <c r="B9" s="10">
        <f>2500/14</f>
        <v/>
      </c>
      <c r="C9" s="10">
        <f>2500/16</f>
        <v/>
      </c>
      <c r="D9" s="10">
        <f>2500/18</f>
        <v/>
      </c>
    </row>
    <row r="10">
      <c r="A10" s="5" t="inlineStr">
        <is>
          <t>Итого по известному, вариант A</t>
        </is>
      </c>
      <c r="B10" s="12">
        <f>B5+B7+B8+B9+250+150</f>
        <v/>
      </c>
      <c r="C10" s="12">
        <f>C5+C7+C8+C9+250+150</f>
        <v/>
      </c>
      <c r="D10" s="12">
        <f>D5+D7+D8+D9+250+150</f>
        <v/>
      </c>
    </row>
    <row r="11">
      <c r="A11" s="5" t="inlineStr">
        <is>
          <t>Итого по известному, вариант B</t>
        </is>
      </c>
      <c r="B11" s="12">
        <f>B6+B7+B8+B9+150</f>
        <v/>
      </c>
      <c r="C11" s="12">
        <f>C6+C7+C8+C9+150</f>
        <v/>
      </c>
      <c r="D11" s="12">
        <f>D6+D7+D8+D9+150</f>
        <v/>
      </c>
    </row>
    <row r="13">
      <c r="A13" s="5" t="inlineStr">
        <is>
          <t>Разница между 18 и 14 гостями, вариант A</t>
        </is>
      </c>
      <c r="B13" s="18">
        <f>B10-D10</f>
        <v/>
      </c>
    </row>
    <row r="14">
      <c r="A14" s="5" t="inlineStr">
        <is>
          <t>Цена пятого дня на гостя при 16</t>
        </is>
      </c>
      <c r="B14" s="18">
        <f>C11-C10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26" customWidth="1" min="3" max="3"/>
    <col width="60" customWidth="1" min="4" max="4"/>
  </cols>
  <sheetData>
    <row r="1">
      <c r="A1" s="17" t="inlineStr">
        <is>
          <t>СЕМЬ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денег за этим стоит</t>
        </is>
      </c>
    </row>
    <row r="4" ht="44" customHeight="1">
      <c r="A4" s="5" t="n">
        <v>1</v>
      </c>
      <c r="B4" s="9" t="inlineStr">
        <is>
          <t>«54 500 в день» — за ночь фрахта или за календарный день? Считается ли утро высадки оплачиваемым днём?</t>
        </is>
      </c>
      <c r="C4" s="9" t="inlineStr">
        <is>
          <t>Судовой оператор</t>
        </is>
      </c>
      <c r="D4" s="19" t="inlineStr">
        <is>
          <t>54 500 USD, то есть 3 406 на гостя при 16</t>
        </is>
      </c>
    </row>
    <row r="5" ht="44" customHeight="1">
      <c r="A5" s="5" t="n">
        <v>2</v>
      </c>
      <c r="B5" s="9" t="inlineStr">
        <is>
          <t>Входят ли береговые экскурсии: транспорт, сопровождение, носильщики? И отдельно: дни 22–25 января до посадки в фрахт не входят вовсе</t>
        </is>
      </c>
      <c r="C5" s="9" t="inlineStr">
        <is>
          <t>Судовой оператор + принимающая компания</t>
        </is>
      </c>
      <c r="D5" s="19" t="inlineStr">
        <is>
          <t>Отдельная строка на 4 дня × 18 человек, сейчас её в смете нет</t>
        </is>
      </c>
    </row>
    <row r="6" ht="44" customHeight="1">
      <c r="A6" s="5" t="n">
        <v>3</v>
      </c>
      <c r="B6" s="9" t="inlineStr">
        <is>
          <t>Вместимость корзины шара; сколько корзин покрывают 2 500; летят ли корзины вместе</t>
        </is>
      </c>
      <c r="C6" s="9" t="inlineStr">
        <is>
          <t>Оператор шара</t>
        </is>
      </c>
      <c r="D6" s="19" t="inlineStr">
        <is>
          <t>Вероятно 5 000 вместо 2 500: +156 на гостя</t>
        </is>
      </c>
    </row>
    <row r="7" ht="44" customHeight="1">
      <c r="A7" s="5" t="n">
        <v>4</v>
      </c>
      <c r="B7" s="9" t="inlineStr">
        <is>
          <t>Гиза: какие зоны, на сколько человек разрешение, длительность окна, съёмка; ночное посещение дороже утреннего?</t>
        </is>
      </c>
      <c r="C7" s="9" t="inlineStr">
        <is>
          <t>Подрядчик спецдоступов</t>
        </is>
      </c>
      <c r="D7" s="19" t="inlineStr">
        <is>
          <t>3 500 за посещение, двух посещений — 7 000</t>
        </is>
      </c>
    </row>
    <row r="8" ht="44" customHeight="1">
      <c r="A8" s="5" t="n">
        <v>5</v>
      </c>
      <c r="B8" s="9" t="inlineStr">
        <is>
          <t>Four Seasons и Lucida: цена net или ++ (12 % сервис, 14 % НДС)? Есть ли минимальный счёт за приватную зону сверх меню?</t>
        </is>
      </c>
      <c r="C8" s="9" t="inlineStr">
        <is>
          <t>Отели и ресторан</t>
        </is>
      </c>
      <c r="D8" s="19" t="inlineStr">
        <is>
          <t>250→319 и 150→192: около 1 800 на группу</t>
        </is>
      </c>
    </row>
    <row r="9" ht="44" customHeight="1">
      <c r="A9" s="5" t="n">
        <v>6</v>
      </c>
      <c r="B9" s="9" t="inlineStr">
        <is>
          <t>Филе: фиксируем ли курс EUR/USD; входит ли моторная лодка от Шеллала; цена ужина на острове</t>
        </is>
      </c>
      <c r="C9" s="9" t="inlineStr">
        <is>
          <t>Мара, Egypt &amp; Africa Travel</t>
        </is>
      </c>
      <c r="D9" s="19" t="inlineStr">
        <is>
          <t>Валютный разброс 1 100 на группу + цена ужина</t>
        </is>
      </c>
    </row>
    <row r="10" ht="44" customHeight="1">
      <c r="A10" s="5" t="n">
        <v>7</v>
      </c>
      <c r="B10" s="9" t="inlineStr">
        <is>
          <t>Что именно входит в «напитки включены»: алкоголь или только безалкогольные?</t>
        </is>
      </c>
      <c r="C10" s="9" t="inlineStr">
        <is>
          <t>Судовой оператор</t>
        </is>
      </c>
      <c r="D10" s="19" t="inlineStr">
        <is>
          <t>Тысячи долларов на 5 днях и 16 гостях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2026-09-20T19:22:30Z</dcterms:created>
  <dcterms:modified xmlns:dcterms="http://purl.org/dc/terms/" xmlns:xsi="http://www.w3.org/2001/XMLSchema-instance" xsi:type="dcterms:W3CDTF">2026-09-20T19:22:30Z</dcterms:modified>
</cp:coreProperties>
</file>